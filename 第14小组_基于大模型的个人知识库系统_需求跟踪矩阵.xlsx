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需求跟踪矩阵封面" sheetId="1" state="visible" r:id="rId1"/>
    <sheet xmlns:r="http://schemas.openxmlformats.org/officeDocument/2006/relationships" name="变更履历" sheetId="2" state="visible" r:id="rId2"/>
    <sheet xmlns:r="http://schemas.openxmlformats.org/officeDocument/2006/relationships" name="设计用RTM" sheetId="3" state="visible" r:id="rId3"/>
    <sheet xmlns:r="http://schemas.openxmlformats.org/officeDocument/2006/relationships" name="图1" sheetId="4" state="visible" r:id="rId4"/>
    <sheet xmlns:r="http://schemas.openxmlformats.org/officeDocument/2006/relationships" name="图2" sheetId="5" state="visible" r:id="rId5"/>
    <sheet xmlns:r="http://schemas.openxmlformats.org/officeDocument/2006/relationships" name="图3" sheetId="6" state="visible" r:id="rId6"/>
    <sheet xmlns:r="http://schemas.openxmlformats.org/officeDocument/2006/relationships" name="图4" sheetId="7" state="visible" r:id="rId7"/>
  </sheets>
  <definedNames>
    <definedName name="_xlnm._FilterDatabase" localSheetId="1" hidden="1">'变更履历'!$B$2:$P$22</definedName>
    <definedName name="_xlnm._FilterDatabase" localSheetId="2" hidden="1">'设计用RTM'!$B$4:$K$29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"/>
  </numFmts>
  <fonts count="24">
    <font>
      <name val="宋体"/>
      <family val="2"/>
      <color theme="1"/>
      <sz val="11"/>
      <scheme val="minor"/>
    </font>
    <font>
      <name val="Microsoft YaHei"/>
      <family val="2"/>
      <color rgb="FF333333"/>
      <sz val="10"/>
    </font>
    <font>
      <name val="Microsoft YaHei"/>
      <family val="2"/>
      <b val="1"/>
      <color rgb="FF1F4E78"/>
      <sz val="10"/>
    </font>
    <font>
      <name val="Microsoft YaHei"/>
      <family val="2"/>
      <b val="1"/>
      <color rgb="FF1F4E78"/>
      <sz val="14"/>
    </font>
    <font>
      <name val="Microsoft YaHei"/>
      <family val="2"/>
      <color rgb="FF333333"/>
      <sz val="9"/>
    </font>
    <font>
      <name val="Microsoft YaHei"/>
      <family val="2"/>
      <b val="1"/>
      <color rgb="FFFFFFFF"/>
      <sz val="15"/>
    </font>
    <font>
      <name val="宋体"/>
      <charset val="134"/>
      <family val="3"/>
      <sz val="9"/>
      <scheme val="minor"/>
    </font>
    <font>
      <name val="黑体"/>
      <charset val="134"/>
      <family val="3"/>
      <color rgb="FF333333"/>
      <sz val="18"/>
    </font>
    <font>
      <name val="幼圆"/>
      <charset val="134"/>
      <family val="3"/>
      <color rgb="FF333333"/>
      <sz val="18"/>
    </font>
    <font>
      <name val="楷体"/>
      <charset val="134"/>
      <family val="3"/>
      <b val="1"/>
      <color rgb="FF1F4E78"/>
      <sz val="36"/>
    </font>
    <font>
      <name val="黑体"/>
      <charset val="134"/>
      <family val="3"/>
      <sz val="18"/>
    </font>
    <font>
      <name val="ＭＳ Ｐゴシック"/>
      <charset val="134"/>
      <family val="2"/>
      <sz val="9"/>
    </font>
    <font>
      <name val="幼圆"/>
      <charset val="134"/>
      <family val="3"/>
      <sz val="12"/>
    </font>
    <font>
      <name val="Times New Roman"/>
      <family val="1"/>
      <sz val="12"/>
    </font>
    <font>
      <name val="宋体"/>
      <charset val="134"/>
      <family val="3"/>
      <sz val="12"/>
    </font>
    <font>
      <name val="宋体"/>
      <charset val="134"/>
      <family val="3"/>
      <sz val="9"/>
    </font>
    <font>
      <name val="Microsoft YaHei UI"/>
      <charset val="134"/>
      <family val="2"/>
      <b val="1"/>
      <color rgb="FF333333"/>
      <sz val="12"/>
    </font>
    <font>
      <name val="Microsoft YaHei UI"/>
      <charset val="134"/>
      <family val="2"/>
      <b val="1"/>
      <color theme="1"/>
      <sz val="12"/>
    </font>
    <font>
      <name val="Microsoft YaHei"/>
      <family val="2"/>
      <color rgb="FF333333"/>
      <sz val="12"/>
    </font>
    <font>
      <name val="Microsoft YaHei"/>
      <charset val="134"/>
      <family val="2"/>
      <b val="1"/>
      <color rgb="FF1F4E78"/>
      <sz val="12"/>
    </font>
    <font>
      <name val="Microsoft YaHei"/>
      <family val="2"/>
      <i val="1"/>
      <color rgb="FF666666"/>
      <sz val="14"/>
    </font>
    <font>
      <name val="Microsoft YaHei"/>
      <charset val="134"/>
      <family val="2"/>
      <i val="1"/>
      <color rgb="FF666666"/>
      <sz val="14"/>
    </font>
    <font>
      <name val="Microsoft YaHei"/>
      <charset val="134"/>
      <family val="2"/>
      <b val="1"/>
      <color rgb="FF1F4E78"/>
      <sz val="14"/>
    </font>
    <font>
      <name val="Microsoft YaHei"/>
      <charset val="134"/>
      <family val="2"/>
      <b val="1"/>
      <color rgb="FF1F4E78"/>
      <sz val="10"/>
    </font>
  </fonts>
  <fills count="11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</fills>
  <borders count="15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/>
      <bottom/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B7C9D6"/>
      </right>
      <top style="thin">
        <color rgb="FFB7C9D6"/>
      </top>
      <bottom/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center" vertical="top" wrapText="1"/>
    </xf>
    <xf numFmtId="0" fontId="8" fillId="9" borderId="3" applyAlignment="1" pivotButton="0" quotePrefix="0" xfId="0">
      <alignment vertical="top" wrapText="1"/>
    </xf>
    <xf numFmtId="0" fontId="8" fillId="9" borderId="4" applyAlignment="1" pivotButton="0" quotePrefix="0" xfId="0">
      <alignment vertical="top" wrapText="1"/>
    </xf>
    <xf numFmtId="0" fontId="9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distributed" vertical="center" wrapText="1"/>
    </xf>
    <xf numFmtId="0" fontId="13" fillId="10" borderId="5" applyAlignment="1" pivotButton="0" quotePrefix="0" xfId="0">
      <alignment horizontal="center" vertical="center" wrapText="1"/>
    </xf>
    <xf numFmtId="0" fontId="14" fillId="10" borderId="5" applyAlignment="1" pivotButton="0" quotePrefix="0" xfId="0">
      <alignment horizontal="center" vertical="center" wrapText="1"/>
    </xf>
    <xf numFmtId="14" fontId="13" fillId="1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14" fillId="10" borderId="5" applyAlignment="1" pivotButton="0" quotePrefix="0" xfId="0">
      <alignment horizontal="center" vertical="center" wrapText="1"/>
    </xf>
    <xf numFmtId="0" fontId="13" fillId="10" borderId="5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18" fillId="0" borderId="1" applyAlignment="1" pivotButton="0" quotePrefix="0" xfId="0">
      <alignment vertical="center" wrapText="1"/>
    </xf>
    <xf numFmtId="165" fontId="1" fillId="0" borderId="1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22" fillId="4" borderId="4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0" fontId="23" fillId="4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0" pivotButton="0" quotePrefix="0" xfId="0"/>
    <xf numFmtId="0" fontId="0" fillId="0" borderId="11" pivotButton="0" quotePrefix="0" xfId="0"/>
    <xf numFmtId="165" fontId="1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0" fillId="0" borderId="7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22860</colOff>
      <row>0</row>
      <rowOff>0</rowOff>
    </from>
    <to>
      <col>21</col>
      <colOff>152400</colOff>
      <row>34</row>
      <rowOff>143503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2860" y="0"/>
          <a:ext cx="12931140" cy="636142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1</rowOff>
    </from>
    <to>
      <col>23</col>
      <colOff>278731</colOff>
      <row>32</row>
      <rowOff>21771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1"/>
          <a:ext cx="14299531" cy="59435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</colOff>
      <row>0</row>
      <rowOff>0</rowOff>
    </from>
    <to>
      <col>17</col>
      <colOff>400051</colOff>
      <row>27</row>
      <rowOff>174435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" y="0"/>
          <a:ext cx="10763250" cy="531793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1</colOff>
      <row>0</row>
      <rowOff>0</rowOff>
    </from>
    <to>
      <col>19</col>
      <colOff>434341</colOff>
      <row>33</row>
      <rowOff>37645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" y="0"/>
          <a:ext cx="12016740" cy="607268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37"/>
  <sheetViews>
    <sheetView showGridLines="0" tabSelected="1" workbookViewId="0">
      <selection activeCell="L26" sqref="L26"/>
    </sheetView>
  </sheetViews>
  <sheetFormatPr baseColWidth="8" defaultRowHeight="25.05" customHeight="1"/>
  <cols>
    <col width="13.77734375" customWidth="1" style="21" min="1" max="8"/>
  </cols>
  <sheetData>
    <row r="3" ht="25.05" customHeight="1" s="21">
      <c r="A3" s="7" t="inlineStr">
        <is>
          <t>密级：</t>
        </is>
      </c>
      <c r="B3" s="6" t="inlineStr">
        <is>
          <t>机密</t>
        </is>
      </c>
    </row>
    <row r="4" ht="25.05" customHeight="1" s="21">
      <c r="H4" s="10" t="inlineStr">
        <is>
          <t>第 1 版</t>
        </is>
      </c>
    </row>
    <row r="5" ht="25.05" customHeight="1" s="21">
      <c r="A5" s="8" t="inlineStr">
        <is>
          <t>分册名称：无</t>
        </is>
      </c>
      <c r="G5" s="11" t="inlineStr">
        <is>
          <t>第 1 册/共 1 册</t>
        </is>
      </c>
      <c r="H5" s="50" t="n"/>
    </row>
    <row r="6" ht="10.05" customHeight="1" s="21"/>
    <row r="7" ht="10.05" customHeight="1" s="21"/>
    <row r="8" ht="10.05" customHeight="1" s="21"/>
    <row r="9" ht="10.05" customHeight="1" s="21"/>
    <row r="10" ht="10.05" customHeight="1" s="21"/>
    <row r="11" ht="10.05" customHeight="1" s="21"/>
    <row r="12" ht="10.05" customHeight="1" s="21"/>
    <row r="13" ht="49.8" customHeight="1" s="21">
      <c r="A13" s="13" t="inlineStr">
        <is>
          <t>基于大模型的个人知识库系统</t>
        </is>
      </c>
      <c r="B13" s="51" t="n"/>
      <c r="C13" s="51" t="n"/>
      <c r="D13" s="51" t="n"/>
      <c r="E13" s="51" t="n"/>
      <c r="F13" s="51" t="n"/>
      <c r="G13" s="51" t="n"/>
      <c r="H13" s="52" t="n"/>
    </row>
    <row r="14" ht="9" customHeight="1" s="21"/>
    <row r="15" ht="39" customHeight="1" s="21">
      <c r="A15" s="14" t="inlineStr">
        <is>
          <t>需求跟踪矩阵</t>
        </is>
      </c>
    </row>
    <row r="16" ht="10.05" customHeight="1" s="21"/>
    <row r="17" ht="10.05" customHeight="1" s="21"/>
    <row r="18" ht="10.05" customHeight="1" s="21"/>
    <row r="19" ht="10.05" customHeight="1" s="21"/>
    <row r="20" ht="25.05" customHeight="1" s="21">
      <c r="A20" s="15" t="inlineStr">
        <is>
          <t>实习实训中心</t>
        </is>
      </c>
    </row>
    <row r="21" ht="10.05" customHeight="1" s="21"/>
    <row r="22" ht="10.05" customHeight="1" s="21">
      <c r="A22" s="22" t="n"/>
    </row>
    <row r="23" ht="10.05" customHeight="1" s="21"/>
    <row r="24" ht="10.05" customHeight="1" s="21">
      <c r="A24" s="22" t="n"/>
    </row>
    <row r="25" ht="10.05" customHeight="1" s="21"/>
    <row r="26" ht="10.05" customHeight="1" s="21">
      <c r="A26" s="22" t="n"/>
      <c r="E26" s="22" t="n"/>
    </row>
    <row r="27" ht="10.05" customHeight="1" s="21"/>
    <row r="28" ht="10.05" customHeight="1" s="21"/>
    <row r="29" ht="10.05" customHeight="1" s="21"/>
    <row r="30" ht="10.05" customHeight="1" s="21"/>
    <row r="31" ht="10.05" customHeight="1" s="21"/>
    <row r="32" ht="10.05" customHeight="1" s="21"/>
    <row r="33" ht="10.05" customHeight="1" s="21"/>
    <row r="34" ht="10.05" customHeight="1" s="21"/>
    <row r="35" ht="10.05" customHeight="1" s="21"/>
    <row r="36" ht="25.05" customHeight="1" s="21">
      <c r="A36" s="16" t="inlineStr">
        <is>
          <t>总页数</t>
        </is>
      </c>
      <c r="B36" s="40" t="n">
        <v>7</v>
      </c>
      <c r="C36" s="16" t="inlineStr">
        <is>
          <t>正文</t>
        </is>
      </c>
      <c r="D36" s="40" t="n">
        <v>2</v>
      </c>
      <c r="E36" s="16" t="inlineStr">
        <is>
          <t>附录</t>
        </is>
      </c>
      <c r="F36" s="39" t="n">
        <v>4</v>
      </c>
      <c r="G36" s="16" t="inlineStr">
        <is>
          <t>生效日期</t>
        </is>
      </c>
      <c r="H36" s="19" t="n">
        <v>46269</v>
      </c>
    </row>
    <row r="37" ht="25.05" customHeight="1" s="21">
      <c r="A37" s="20" t="inlineStr">
        <is>
          <t>编制：</t>
        </is>
      </c>
      <c r="B37" s="39" t="inlineStr">
        <is>
          <t>杨帆</t>
        </is>
      </c>
      <c r="C37" s="53" t="n"/>
      <c r="D37" s="54" t="n"/>
      <c r="E37" s="20" t="inlineStr">
        <is>
          <t>审批：</t>
        </is>
      </c>
      <c r="F37" s="41" t="inlineStr">
        <is>
          <t>杨帆</t>
        </is>
      </c>
      <c r="G37" s="53" t="n"/>
      <c r="H37" s="54" t="n"/>
    </row>
  </sheetData>
  <mergeCells count="7">
    <mergeCell ref="B37:D37"/>
    <mergeCell ref="A15:H15"/>
    <mergeCell ref="A20:H20"/>
    <mergeCell ref="A5:B5"/>
    <mergeCell ref="G5:H5"/>
    <mergeCell ref="A13:H13"/>
    <mergeCell ref="F37:H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P23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25" sqref="I25"/>
    </sheetView>
  </sheetViews>
  <sheetFormatPr baseColWidth="8" defaultRowHeight="14.4"/>
  <cols>
    <col width="2.6640625" customWidth="1" style="21" min="1" max="1"/>
    <col width="7.6640625" customWidth="1" style="21" min="2" max="2"/>
    <col width="12.6640625" customWidth="1" style="21" min="3" max="3"/>
    <col width="66.6640625" customWidth="1" style="21" min="4" max="4"/>
    <col width="30.6640625" customWidth="1" style="21" min="5" max="5"/>
    <col width="12.6640625" customWidth="1" style="21" min="6" max="7"/>
    <col width="10.6640625" customWidth="1" style="21" min="8" max="12"/>
    <col width="12.6640625" customWidth="1" style="21" min="13" max="14"/>
    <col width="14.6640625" customWidth="1" style="21" min="15" max="16"/>
  </cols>
  <sheetData>
    <row r="1" ht="21" customHeight="1" s="21">
      <c r="B1" s="5" t="inlineStr">
        <is>
          <t>变更履历 - WenKB</t>
        </is>
      </c>
    </row>
    <row r="2" ht="31.2" customHeight="1" s="21">
      <c r="B2" s="1" t="inlineStr">
        <is>
          <t>序号</t>
        </is>
      </c>
      <c r="C2" s="1" t="inlineStr">
        <is>
          <t>日期</t>
        </is>
      </c>
      <c r="D2" s="1" t="inlineStr">
        <is>
          <t>变更内容</t>
        </is>
      </c>
      <c r="E2" s="1" t="inlineStr">
        <is>
          <t>RTM No.</t>
        </is>
      </c>
      <c r="F2" s="1" t="inlineStr">
        <is>
          <t>需求版本</t>
        </is>
      </c>
      <c r="G2" s="1" t="inlineStr">
        <is>
          <t>变更人</t>
        </is>
      </c>
      <c r="H2" s="1" t="inlineStr">
        <is>
          <t>初始需求个数</t>
        </is>
      </c>
      <c r="I2" s="1" t="inlineStr">
        <is>
          <t>新增需求个数</t>
        </is>
      </c>
      <c r="J2" s="1" t="inlineStr">
        <is>
          <t>删除需求个数</t>
        </is>
      </c>
      <c r="K2" s="1" t="inlineStr">
        <is>
          <t>修改需求个数</t>
        </is>
      </c>
      <c r="L2" s="1" t="inlineStr">
        <is>
          <t>总需求个数</t>
        </is>
      </c>
      <c r="M2" s="1" t="inlineStr">
        <is>
          <t>需求变更比</t>
        </is>
      </c>
      <c r="N2" s="1" t="inlineStr">
        <is>
          <t>对规模的影响</t>
        </is>
      </c>
      <c r="O2" s="1" t="inlineStr">
        <is>
          <t>对工作量的影响</t>
        </is>
      </c>
      <c r="P2" s="1" t="inlineStr">
        <is>
          <t>对进度的影响</t>
        </is>
      </c>
    </row>
    <row r="3" ht="54" customHeight="1" s="21">
      <c r="B3" s="2" t="n">
        <v>1</v>
      </c>
      <c r="C3" s="55" t="n">
        <v>46267</v>
      </c>
      <c r="D3" s="43" t="inlineStr">
        <is>
          <t>建立需求分析基线：产品定位、角色、18 项功能需求、7 项非功能需求和验收标准。commit 5786287</t>
        </is>
      </c>
      <c r="E3" s="2" t="inlineStr">
        <is>
          <t>FR-001~FR-018,NFR-001~NFR-007</t>
        </is>
      </c>
      <c r="F3" s="2" t="inlineStr">
        <is>
          <t>v0.2</t>
        </is>
      </c>
      <c r="G3" s="2" t="inlineStr">
        <is>
          <t>项目组</t>
        </is>
      </c>
      <c r="H3" s="2" t="n">
        <v>0</v>
      </c>
      <c r="I3" s="2" t="n">
        <v>25</v>
      </c>
      <c r="J3" s="2" t="n">
        <v>0</v>
      </c>
      <c r="K3" s="2" t="n">
        <v>0</v>
      </c>
      <c r="L3" s="2" t="n">
        <v>25</v>
      </c>
      <c r="M3" s="56" t="n">
        <v>0</v>
      </c>
      <c r="N3" s="2" t="inlineStr">
        <is>
          <t>高</t>
        </is>
      </c>
      <c r="O3" s="2" t="inlineStr">
        <is>
          <t>高</t>
        </is>
      </c>
      <c r="P3" s="2" t="inlineStr">
        <is>
          <t>中</t>
        </is>
      </c>
    </row>
    <row r="4" ht="54" customHeight="1" s="21">
      <c r="B4" s="2" t="n">
        <v>2</v>
      </c>
      <c r="C4" s="55" t="n">
        <v>46267</v>
      </c>
      <c r="D4" s="43" t="inlineStr">
        <is>
          <t>建立概要设计基线：分层架构、核心模块、数据流、状态模型和质量属性。commit 42e6837</t>
        </is>
      </c>
      <c r="E4" s="2" t="inlineStr">
        <is>
          <t>FR-001~FR-018,NFR-001~NFR-007</t>
        </is>
      </c>
      <c r="F4" s="2" t="inlineStr">
        <is>
          <t>v0.2</t>
        </is>
      </c>
      <c r="G4" s="2" t="inlineStr">
        <is>
          <t>项目组</t>
        </is>
      </c>
      <c r="H4" s="2" t="n">
        <v>25</v>
      </c>
      <c r="I4" s="2" t="n">
        <v>0</v>
      </c>
      <c r="J4" s="2" t="n">
        <v>0</v>
      </c>
      <c r="K4" s="2" t="n">
        <v>0</v>
      </c>
      <c r="L4" s="2" t="n">
        <v>25</v>
      </c>
      <c r="M4" s="56" t="n">
        <v>0</v>
      </c>
      <c r="N4" s="2" t="inlineStr">
        <is>
          <t>高</t>
        </is>
      </c>
      <c r="O4" s="2" t="inlineStr">
        <is>
          <t>高</t>
        </is>
      </c>
      <c r="P4" s="2" t="inlineStr">
        <is>
          <t>中</t>
        </is>
      </c>
    </row>
    <row r="5" ht="54" customHeight="1" s="21">
      <c r="B5" s="2" t="n">
        <v>3</v>
      </c>
      <c r="C5" s="55" t="n">
        <v>46267</v>
      </c>
      <c r="D5" s="43" t="inlineStr">
        <is>
          <t>建立详细设计基线：核心对象、索引/增强/问答流程、状态机、一致性和异常规则。commit 86ad096</t>
        </is>
      </c>
      <c r="E5" s="2" t="inlineStr">
        <is>
          <t>FR-001~FR-018,NFR-001~NFR-007</t>
        </is>
      </c>
      <c r="F5" s="2" t="inlineStr">
        <is>
          <t>v0.1</t>
        </is>
      </c>
      <c r="G5" s="2" t="inlineStr">
        <is>
          <t>项目组</t>
        </is>
      </c>
      <c r="H5" s="2" t="n">
        <v>25</v>
      </c>
      <c r="I5" s="2" t="n">
        <v>0</v>
      </c>
      <c r="J5" s="2" t="n">
        <v>0</v>
      </c>
      <c r="K5" s="2" t="n">
        <v>0</v>
      </c>
      <c r="L5" s="2" t="n">
        <v>25</v>
      </c>
      <c r="M5" s="56" t="n">
        <v>0</v>
      </c>
      <c r="N5" s="2" t="inlineStr">
        <is>
          <t>高</t>
        </is>
      </c>
      <c r="O5" s="2" t="inlineStr">
        <is>
          <t>高</t>
        </is>
      </c>
      <c r="P5" s="2" t="inlineStr">
        <is>
          <t>中</t>
        </is>
      </c>
    </row>
    <row r="6" ht="54" customHeight="1" s="21">
      <c r="B6" s="2" t="n">
        <v>4</v>
      </c>
      <c r="C6" s="55" t="n">
        <v>46267</v>
      </c>
      <c r="D6" s="43" t="inlineStr">
        <is>
          <t>建立数据库设计基线：关系库、向量库、文件系统边界及聊天引用、迁移、删除规则。commit 4d2c685</t>
        </is>
      </c>
      <c r="E6" s="2" t="inlineStr">
        <is>
          <t>FR-009~FR-017,NFR-003~NFR-006</t>
        </is>
      </c>
      <c r="F6" s="2" t="inlineStr">
        <is>
          <t>v0.1</t>
        </is>
      </c>
      <c r="G6" s="2" t="inlineStr">
        <is>
          <t>项目组</t>
        </is>
      </c>
      <c r="H6" s="2" t="n">
        <v>25</v>
      </c>
      <c r="I6" s="2" t="n">
        <v>0</v>
      </c>
      <c r="J6" s="2" t="n">
        <v>0</v>
      </c>
      <c r="K6" s="2" t="n">
        <v>0</v>
      </c>
      <c r="L6" s="2" t="n">
        <v>25</v>
      </c>
      <c r="M6" s="56" t="n">
        <v>0</v>
      </c>
      <c r="N6" s="2" t="inlineStr">
        <is>
          <t>高</t>
        </is>
      </c>
      <c r="O6" s="2" t="inlineStr">
        <is>
          <t>高</t>
        </is>
      </c>
      <c r="P6" s="2" t="inlineStr">
        <is>
          <t>中</t>
        </is>
      </c>
    </row>
    <row r="7" ht="54" customHeight="1" s="21">
      <c r="B7" s="2" t="n">
        <v>5</v>
      </c>
      <c r="C7" s="55" t="n">
        <v>46267</v>
      </c>
      <c r="D7" s="43" t="inlineStr">
        <is>
          <t>建立接口设计基线：系统配置、知识库、数据集、聊天 SSE、搜索和文档集接口契约。commit 422f1bf</t>
        </is>
      </c>
      <c r="E7" s="2" t="inlineStr">
        <is>
          <t>FR-001~FR-017,NFR-001~NFR-007</t>
        </is>
      </c>
      <c r="F7" s="2" t="inlineStr">
        <is>
          <t>v0.1</t>
        </is>
      </c>
      <c r="G7" s="2" t="inlineStr">
        <is>
          <t>项目组</t>
        </is>
      </c>
      <c r="H7" s="2" t="n">
        <v>25</v>
      </c>
      <c r="I7" s="2" t="n">
        <v>0</v>
      </c>
      <c r="J7" s="2" t="n">
        <v>0</v>
      </c>
      <c r="K7" s="2" t="n">
        <v>0</v>
      </c>
      <c r="L7" s="2" t="n">
        <v>25</v>
      </c>
      <c r="M7" s="56" t="n">
        <v>0</v>
      </c>
      <c r="N7" s="2" t="inlineStr">
        <is>
          <t>高</t>
        </is>
      </c>
      <c r="O7" s="2" t="inlineStr">
        <is>
          <t>高</t>
        </is>
      </c>
      <c r="P7" s="2" t="inlineStr">
        <is>
          <t>中</t>
        </is>
      </c>
    </row>
    <row r="8" ht="54" customHeight="1" s="21">
      <c r="B8" s="2" t="n">
        <v>6</v>
      </c>
      <c r="C8" s="55" t="n">
        <v>46267</v>
      </c>
      <c r="D8" s="43" t="inlineStr">
        <is>
          <t>建立代码维护交接记录，整理已完成工作、未完成事项、验证结果和恢复建议。commit a65734b</t>
        </is>
      </c>
      <c r="E8" s="2" t="inlineStr">
        <is>
          <t>NFR-005</t>
        </is>
      </c>
      <c r="F8" s="2" t="inlineStr">
        <is>
          <t>v0.9</t>
        </is>
      </c>
      <c r="G8" s="2" t="inlineStr">
        <is>
          <t>项目组</t>
        </is>
      </c>
      <c r="H8" s="2" t="n">
        <v>25</v>
      </c>
      <c r="I8" s="2" t="n">
        <v>0</v>
      </c>
      <c r="J8" s="2" t="n">
        <v>0</v>
      </c>
      <c r="K8" s="2" t="n">
        <v>1</v>
      </c>
      <c r="L8" s="2" t="n">
        <v>25</v>
      </c>
      <c r="M8" s="56" t="n">
        <v>0.04</v>
      </c>
      <c r="N8" s="2" t="inlineStr">
        <is>
          <t>低</t>
        </is>
      </c>
      <c r="O8" s="2" t="inlineStr">
        <is>
          <t>中</t>
        </is>
      </c>
      <c r="P8" s="2" t="inlineStr">
        <is>
          <t>低</t>
        </is>
      </c>
    </row>
    <row r="9" ht="54" customHeight="1" s="21">
      <c r="B9" s="2" t="n">
        <v>7</v>
      </c>
      <c r="C9" s="55" t="n">
        <v>46268</v>
      </c>
      <c r="D9" s="43" t="inlineStr">
        <is>
          <t>维护数据库迁移、数据库版本 5、访问权限校验、删除清理和聊天失败回落。commit cd643c5</t>
        </is>
      </c>
      <c r="E9" s="2" t="inlineStr">
        <is>
          <t>FR-004,FR-009,FR-014,FR-015,FR-017,NFR-003,NFR-004</t>
        </is>
      </c>
      <c r="F9" s="2" t="inlineStr">
        <is>
          <t>v0.9</t>
        </is>
      </c>
      <c r="G9" s="2" t="inlineStr">
        <is>
          <t>项目组</t>
        </is>
      </c>
      <c r="H9" s="2" t="n">
        <v>25</v>
      </c>
      <c r="I9" s="2" t="n">
        <v>0</v>
      </c>
      <c r="J9" s="2" t="n">
        <v>0</v>
      </c>
      <c r="K9" s="2" t="n">
        <v>7</v>
      </c>
      <c r="L9" s="2" t="n">
        <v>25</v>
      </c>
      <c r="M9" s="56" t="n">
        <v>0.28</v>
      </c>
      <c r="N9" s="2" t="inlineStr">
        <is>
          <t>高</t>
        </is>
      </c>
      <c r="O9" s="2" t="inlineStr">
        <is>
          <t>高</t>
        </is>
      </c>
      <c r="P9" s="2" t="inlineStr">
        <is>
          <t>中</t>
        </is>
      </c>
    </row>
    <row r="10" ht="54" customHeight="1" s="21">
      <c r="B10" s="2" t="n">
        <v>8</v>
      </c>
      <c r="C10" s="55" t="n">
        <v>46268</v>
      </c>
      <c r="D10" s="43" t="inlineStr">
        <is>
          <t>更新 AGENTS 维护规则和提交约束，明确文档导航、测试门禁和变更可追溯要求。commit d2bacdb</t>
        </is>
      </c>
      <c r="E10" s="2" t="inlineStr">
        <is>
          <t>NFR-005</t>
        </is>
      </c>
      <c r="F10" s="2" t="inlineStr">
        <is>
          <t>v0.9</t>
        </is>
      </c>
      <c r="G10" s="2" t="inlineStr">
        <is>
          <t>杨帆</t>
        </is>
      </c>
      <c r="H10" s="2" t="n">
        <v>25</v>
      </c>
      <c r="I10" s="2" t="n">
        <v>0</v>
      </c>
      <c r="J10" s="2" t="n">
        <v>0</v>
      </c>
      <c r="K10" s="2" t="n">
        <v>1</v>
      </c>
      <c r="L10" s="2" t="n">
        <v>25</v>
      </c>
      <c r="M10" s="56" t="n">
        <v>0.04</v>
      </c>
      <c r="N10" s="2" t="inlineStr">
        <is>
          <t>低</t>
        </is>
      </c>
      <c r="O10" s="2" t="inlineStr">
        <is>
          <t>低</t>
        </is>
      </c>
      <c r="P10" s="2" t="inlineStr">
        <is>
          <t>低</t>
        </is>
      </c>
    </row>
    <row r="11" ht="54" customHeight="1" s="21">
      <c r="B11" s="2" t="n">
        <v>9</v>
      </c>
      <c r="C11" s="55" t="n">
        <v>46268</v>
      </c>
      <c r="D11" s="43" t="inlineStr">
        <is>
          <t>建立测试计划基线，覆盖核心闭环、数据一致性、异常恢复、通过标准和风险。commit 345b152</t>
        </is>
      </c>
      <c r="E11" s="2" t="inlineStr">
        <is>
          <t>NFR-001~NFR-007</t>
        </is>
      </c>
      <c r="F11" s="2" t="inlineStr">
        <is>
          <t>v0.1</t>
        </is>
      </c>
      <c r="G11" s="2" t="inlineStr">
        <is>
          <t>项目组</t>
        </is>
      </c>
      <c r="H11" s="2" t="n">
        <v>25</v>
      </c>
      <c r="I11" s="2" t="n">
        <v>0</v>
      </c>
      <c r="J11" s="2" t="n">
        <v>0</v>
      </c>
      <c r="K11" s="2" t="n">
        <v>7</v>
      </c>
      <c r="L11" s="2" t="n">
        <v>25</v>
      </c>
      <c r="M11" s="56" t="n">
        <v>0.28</v>
      </c>
      <c r="N11" s="2" t="inlineStr">
        <is>
          <t>中</t>
        </is>
      </c>
      <c r="O11" s="2" t="inlineStr">
        <is>
          <t>中</t>
        </is>
      </c>
      <c r="P11" s="2" t="inlineStr">
        <is>
          <t>中</t>
        </is>
      </c>
    </row>
    <row r="12" ht="54" customHeight="1" s="21">
      <c r="B12" s="2" t="n">
        <v>10</v>
      </c>
      <c r="C12" s="55" t="n">
        <v>46268</v>
      </c>
      <c r="D12" s="43" t="inlineStr">
        <is>
          <t>同步测试计划导航和 AGENTS 入口，确保文档可发现、可验证。commits 06caee5, dc6419d</t>
        </is>
      </c>
      <c r="E12" s="2" t="inlineStr">
        <is>
          <t>NFR-005</t>
        </is>
      </c>
      <c r="F12" s="2" t="inlineStr">
        <is>
          <t>v0.1</t>
        </is>
      </c>
      <c r="G12" s="2" t="inlineStr">
        <is>
          <t>于松泽</t>
        </is>
      </c>
      <c r="H12" s="2" t="n">
        <v>25</v>
      </c>
      <c r="I12" s="2" t="n">
        <v>0</v>
      </c>
      <c r="J12" s="2" t="n">
        <v>0</v>
      </c>
      <c r="K12" s="2" t="n">
        <v>1</v>
      </c>
      <c r="L12" s="2" t="n">
        <v>25</v>
      </c>
      <c r="M12" s="56" t="n">
        <v>0.04</v>
      </c>
      <c r="N12" s="2" t="inlineStr">
        <is>
          <t>低</t>
        </is>
      </c>
      <c r="O12" s="2" t="inlineStr">
        <is>
          <t>低</t>
        </is>
      </c>
      <c r="P12" s="2" t="inlineStr">
        <is>
          <t>低</t>
        </is>
      </c>
    </row>
    <row r="13" ht="54" customHeight="1" s="21">
      <c r="B13" s="2" t="n">
        <v>11</v>
      </c>
      <c r="C13" s="55" t="n">
        <v>46268</v>
      </c>
      <c r="D13" s="43" t="inlineStr">
        <is>
          <t>建立部署运维基线：本地单机部署、备份恢复、升级回滚、健康检查和局域网演进要求。commit 9b13e1c</t>
        </is>
      </c>
      <c r="E13" s="2" t="inlineStr">
        <is>
          <t>NFR-001,NFR-003,NFR-005,NFR-007</t>
        </is>
      </c>
      <c r="F13" s="2" t="inlineStr">
        <is>
          <t>v0.1</t>
        </is>
      </c>
      <c r="G13" s="2" t="inlineStr">
        <is>
          <t>项目组</t>
        </is>
      </c>
      <c r="H13" s="2" t="n">
        <v>25</v>
      </c>
      <c r="I13" s="2" t="n">
        <v>0</v>
      </c>
      <c r="J13" s="2" t="n">
        <v>0</v>
      </c>
      <c r="K13" s="2" t="n">
        <v>4</v>
      </c>
      <c r="L13" s="2" t="n">
        <v>25</v>
      </c>
      <c r="M13" s="56" t="n">
        <v>0.16</v>
      </c>
      <c r="N13" s="2" t="inlineStr">
        <is>
          <t>中</t>
        </is>
      </c>
      <c r="O13" s="2" t="inlineStr">
        <is>
          <t>中</t>
        </is>
      </c>
      <c r="P13" s="2" t="inlineStr">
        <is>
          <t>中</t>
        </is>
      </c>
    </row>
    <row r="14" ht="54" customHeight="1" s="21">
      <c r="B14" s="2" t="n">
        <v>12</v>
      </c>
      <c r="C14" s="55" t="n">
        <v>46268</v>
      </c>
      <c r="D14" s="43" t="inlineStr">
        <is>
          <t>重构开发者与用户手册，补齐本地运行、后台任务、数据维护、首次使用和故障排查。commit 1186a1d</t>
        </is>
      </c>
      <c r="E14" s="2" t="inlineStr">
        <is>
          <t>FR-001~FR-017,NFR-001,NFR-003,NFR-005,NFR-007</t>
        </is>
      </c>
      <c r="F14" s="2" t="inlineStr">
        <is>
          <t>v0.2</t>
        </is>
      </c>
      <c r="G14" s="2" t="inlineStr">
        <is>
          <t>王弘宇</t>
        </is>
      </c>
      <c r="H14" s="2" t="n">
        <v>25</v>
      </c>
      <c r="I14" s="2" t="n">
        <v>0</v>
      </c>
      <c r="J14" s="2" t="n">
        <v>0</v>
      </c>
      <c r="K14" s="2" t="n">
        <v>5</v>
      </c>
      <c r="L14" s="2" t="n">
        <v>25</v>
      </c>
      <c r="M14" s="56" t="n">
        <v>0.2</v>
      </c>
      <c r="N14" s="2" t="inlineStr">
        <is>
          <t>中</t>
        </is>
      </c>
      <c r="O14" s="2" t="inlineStr">
        <is>
          <t>中</t>
        </is>
      </c>
      <c r="P14" s="2" t="inlineStr">
        <is>
          <t>中</t>
        </is>
      </c>
    </row>
    <row r="15" ht="54" customHeight="1" s="21">
      <c r="B15" s="2" t="n">
        <v>13</v>
      </c>
      <c r="C15" s="55" t="n">
        <v>46268</v>
      </c>
      <c r="D15" s="43" t="inlineStr">
        <is>
          <t>建立变更管理基线，规范变更等级、影响分析、测试门禁、回滚和 Git 提交关联。commit eddf3be</t>
        </is>
      </c>
      <c r="E15" s="2" t="inlineStr">
        <is>
          <t>NFR-005</t>
        </is>
      </c>
      <c r="F15" s="2" t="inlineStr">
        <is>
          <t>v0.1</t>
        </is>
      </c>
      <c r="G15" s="2" t="inlineStr">
        <is>
          <t>高见彰</t>
        </is>
      </c>
      <c r="H15" s="2" t="n">
        <v>25</v>
      </c>
      <c r="I15" s="2" t="n">
        <v>0</v>
      </c>
      <c r="J15" s="2" t="n">
        <v>0</v>
      </c>
      <c r="K15" s="2" t="n">
        <v>1</v>
      </c>
      <c r="L15" s="2" t="n">
        <v>25</v>
      </c>
      <c r="M15" s="56" t="n">
        <v>0.04</v>
      </c>
      <c r="N15" s="2" t="inlineStr">
        <is>
          <t>低</t>
        </is>
      </c>
      <c r="O15" s="2" t="inlineStr">
        <is>
          <t>中</t>
        </is>
      </c>
      <c r="P15" s="2" t="inlineStr">
        <is>
          <t>低</t>
        </is>
      </c>
    </row>
    <row r="16" ht="54" customHeight="1" s="21">
      <c r="B16" s="2" t="n">
        <v>14</v>
      </c>
      <c r="C16" s="55" t="n">
        <v>46268</v>
      </c>
      <c r="D16" s="43" t="inlineStr">
        <is>
          <t>将 README 重写为工程入口，补齐启动、验证、目录、数据落点和常见问题；合并三次 README 历史提交。commits 1a1c33d,e94d1ac,9a3a650</t>
        </is>
      </c>
      <c r="E16" s="2" t="inlineStr">
        <is>
          <t>FR-001,FR-004,FR-007,FR-009,FR-014,NFR-001,NFR-003,NFR-005,NFR-007</t>
        </is>
      </c>
      <c r="F16" s="2" t="inlineStr">
        <is>
          <t>当前</t>
        </is>
      </c>
      <c r="G16" s="2" t="inlineStr">
        <is>
          <t>李子昂</t>
        </is>
      </c>
      <c r="H16" s="2" t="n">
        <v>25</v>
      </c>
      <c r="I16" s="2" t="n">
        <v>0</v>
      </c>
      <c r="J16" s="2" t="n">
        <v>0</v>
      </c>
      <c r="K16" s="2" t="n">
        <v>9</v>
      </c>
      <c r="L16" s="2" t="n">
        <v>25</v>
      </c>
      <c r="M16" s="56" t="n">
        <v>0.36</v>
      </c>
      <c r="N16" s="2" t="inlineStr">
        <is>
          <t>中</t>
        </is>
      </c>
      <c r="O16" s="2" t="inlineStr">
        <is>
          <t>中</t>
        </is>
      </c>
      <c r="P16" s="2" t="inlineStr">
        <is>
          <t>低</t>
        </is>
      </c>
    </row>
    <row r="17" ht="54" customHeight="1" s="21">
      <c r="B17" s="2" t="n">
        <v>15</v>
      </c>
      <c r="C17" s="55" t="n">
        <v>46268</v>
      </c>
      <c r="D17" s="43" t="inlineStr">
        <is>
          <t>修复模型供应商 API Key AES 占位密钥错误，增加有效默认参数、环境变量覆盖和长度校验。commit 5fc91f5</t>
        </is>
      </c>
      <c r="E17" s="2" t="inlineStr">
        <is>
          <t>FR-001,NFR-004</t>
        </is>
      </c>
      <c r="F17" s="2" t="inlineStr">
        <is>
          <t>当前</t>
        </is>
      </c>
      <c r="G17" s="2" t="inlineStr">
        <is>
          <t>杨帆</t>
        </is>
      </c>
      <c r="H17" s="2" t="n">
        <v>25</v>
      </c>
      <c r="I17" s="2" t="n">
        <v>0</v>
      </c>
      <c r="J17" s="2" t="n">
        <v>0</v>
      </c>
      <c r="K17" s="2" t="n">
        <v>2</v>
      </c>
      <c r="L17" s="2" t="n">
        <v>25</v>
      </c>
      <c r="M17" s="56" t="n">
        <v>0.08</v>
      </c>
      <c r="N17" s="2" t="inlineStr">
        <is>
          <t>中</t>
        </is>
      </c>
      <c r="O17" s="2" t="inlineStr">
        <is>
          <t>中</t>
        </is>
      </c>
      <c r="P17" s="2" t="inlineStr">
        <is>
          <t>低</t>
        </is>
      </c>
    </row>
    <row r="18" ht="54" customHeight="1" s="21">
      <c r="B18" s="2" t="n">
        <v>16</v>
      </c>
      <c r="C18" s="55" t="n">
        <v>46268</v>
      </c>
      <c r="D18" s="43" t="inlineStr">
        <is>
          <t>修复 OpenAI 兼容聊天客户端在 httpx 0.28.x 下传递废弃 proxies 参数的问题，增加显式 HTTP 客户端。commit a9eb772</t>
        </is>
      </c>
      <c r="E18" s="2" t="inlineStr">
        <is>
          <t>FR-001,FR-002,FR-003,FR-014,NFR-002,NFR-007</t>
        </is>
      </c>
      <c r="F18" s="2" t="inlineStr">
        <is>
          <t>当前</t>
        </is>
      </c>
      <c r="G18" s="2" t="inlineStr">
        <is>
          <t>杨帆</t>
        </is>
      </c>
      <c r="H18" s="2" t="n">
        <v>25</v>
      </c>
      <c r="I18" s="2" t="n">
        <v>0</v>
      </c>
      <c r="J18" s="2" t="n">
        <v>0</v>
      </c>
      <c r="K18" s="2" t="n">
        <v>6</v>
      </c>
      <c r="L18" s="2" t="n">
        <v>25</v>
      </c>
      <c r="M18" s="56" t="n">
        <v>0.24</v>
      </c>
      <c r="N18" s="2" t="inlineStr">
        <is>
          <t>中</t>
        </is>
      </c>
      <c r="O18" s="2" t="inlineStr">
        <is>
          <t>中</t>
        </is>
      </c>
      <c r="P18" s="2" t="inlineStr">
        <is>
          <t>中</t>
        </is>
      </c>
    </row>
    <row r="19" ht="54" customHeight="1" s="21">
      <c r="B19" s="2" t="n">
        <v>17</v>
      </c>
      <c r="C19" s="55" t="n">
        <v>46268</v>
      </c>
      <c r="D19" s="43" t="inlineStr">
        <is>
          <t>补齐 OpenAI、DeepSeek、Moonshot、通义、智谱和 NVIDIA embedding 客户端回归覆盖。commit 0eb5781</t>
        </is>
      </c>
      <c r="E19" s="2" t="inlineStr">
        <is>
          <t>FR-001,FR-002,NFR-002,NFR-006,NFR-007</t>
        </is>
      </c>
      <c r="F19" s="2" t="inlineStr">
        <is>
          <t>当前</t>
        </is>
      </c>
      <c r="G19" s="2" t="inlineStr">
        <is>
          <t>杨帆</t>
        </is>
      </c>
      <c r="H19" s="2" t="n">
        <v>25</v>
      </c>
      <c r="I19" s="2" t="n">
        <v>0</v>
      </c>
      <c r="J19" s="2" t="n">
        <v>0</v>
      </c>
      <c r="K19" s="2" t="n">
        <v>5</v>
      </c>
      <c r="L19" s="2" t="n">
        <v>25</v>
      </c>
      <c r="M19" s="56" t="n">
        <v>0.2</v>
      </c>
      <c r="N19" s="2" t="inlineStr">
        <is>
          <t>中</t>
        </is>
      </c>
      <c r="O19" s="2" t="inlineStr">
        <is>
          <t>中</t>
        </is>
      </c>
      <c r="P19" s="2" t="inlineStr">
        <is>
          <t>中</t>
        </is>
      </c>
    </row>
    <row r="20" ht="54" customHeight="1" s="21">
      <c r="B20" s="2" t="n">
        <v>18</v>
      </c>
      <c r="C20" s="55" t="n">
        <v>46268</v>
      </c>
      <c r="D20" s="43" t="inlineStr">
        <is>
          <t>修复 Windows 本地 m3e-small 向量集合创建，固定 torch/fsspec，补充完整权重和 Git LFS 占位校验。commit 300c102</t>
        </is>
      </c>
      <c r="E20" s="2" t="inlineStr">
        <is>
          <t>FR-009,NFR-002,NFR-003,NFR-006,NFR-007</t>
        </is>
      </c>
      <c r="F20" s="2" t="inlineStr">
        <is>
          <t>当前</t>
        </is>
      </c>
      <c r="G20" s="2" t="inlineStr">
        <is>
          <t>杨帆</t>
        </is>
      </c>
      <c r="H20" s="2" t="n">
        <v>25</v>
      </c>
      <c r="I20" s="2" t="n">
        <v>0</v>
      </c>
      <c r="J20" s="2" t="n">
        <v>0</v>
      </c>
      <c r="K20" s="2" t="n">
        <v>5</v>
      </c>
      <c r="L20" s="2" t="n">
        <v>25</v>
      </c>
      <c r="M20" s="56" t="n">
        <v>0.2</v>
      </c>
      <c r="N20" s="2" t="inlineStr">
        <is>
          <t>高</t>
        </is>
      </c>
      <c r="O20" s="2" t="inlineStr">
        <is>
          <t>高</t>
        </is>
      </c>
      <c r="P20" s="2" t="inlineStr">
        <is>
          <t>中</t>
        </is>
      </c>
    </row>
    <row r="21" ht="54" customHeight="1" s="21">
      <c r="B21" s="2" t="n">
        <v>19</v>
      </c>
      <c r="C21" s="55" t="n">
        <v>46268</v>
      </c>
      <c r="D21" s="43" t="inlineStr">
        <is>
          <t>完成软件工程静态评审，修正 AGENTS 导航状态，并登记真实鉴权、上传校验、数据库约束和任务生命周期等遗留风险。commit a2b86e1</t>
        </is>
      </c>
      <c r="E21" s="2" t="inlineStr">
        <is>
          <t>NFR-003,NFR-004,NFR-005,NFR-007</t>
        </is>
      </c>
      <c r="F21" s="2" t="inlineStr">
        <is>
          <t>v1.0</t>
        </is>
      </c>
      <c r="G21" s="2" t="inlineStr">
        <is>
          <t>杨帆</t>
        </is>
      </c>
      <c r="H21" s="2" t="n">
        <v>25</v>
      </c>
      <c r="I21" s="2" t="n">
        <v>0</v>
      </c>
      <c r="J21" s="2" t="n">
        <v>0</v>
      </c>
      <c r="K21" s="2" t="n">
        <v>4</v>
      </c>
      <c r="L21" s="2" t="n">
        <v>25</v>
      </c>
      <c r="M21" s="56" t="n">
        <v>0.16</v>
      </c>
      <c r="N21" s="2" t="inlineStr">
        <is>
          <t>高</t>
        </is>
      </c>
      <c r="O21" s="2" t="inlineStr">
        <is>
          <t>中</t>
        </is>
      </c>
      <c r="P21" s="2" t="inlineStr">
        <is>
          <t>中</t>
        </is>
      </c>
    </row>
    <row r="22" ht="54" customHeight="1" s="21">
      <c r="B22" s="2" t="n">
        <v>20</v>
      </c>
      <c r="C22" s="55" t="n">
        <v>46269</v>
      </c>
      <c r="D22" s="43" t="inlineStr">
        <is>
          <t>新增架构与知识点问答记录及文档回归测试，形成持续学习和交接入口。commit 421a29e</t>
        </is>
      </c>
      <c r="E22" s="2" t="inlineStr">
        <is>
          <t>NFR-005</t>
        </is>
      </c>
      <c r="F22" s="2" t="inlineStr">
        <is>
          <t>v0.1</t>
        </is>
      </c>
      <c r="G22" s="2" t="inlineStr">
        <is>
          <t>杨帆</t>
        </is>
      </c>
      <c r="H22" s="2" t="n">
        <v>25</v>
      </c>
      <c r="I22" s="2" t="n">
        <v>0</v>
      </c>
      <c r="J22" s="2" t="n">
        <v>0</v>
      </c>
      <c r="K22" s="2" t="n">
        <v>1</v>
      </c>
      <c r="L22" s="2" t="n">
        <v>25</v>
      </c>
      <c r="M22" s="56" t="n">
        <v>0.04</v>
      </c>
      <c r="N22" s="2" t="inlineStr">
        <is>
          <t>低</t>
        </is>
      </c>
      <c r="O22" s="2" t="inlineStr">
        <is>
          <t>低</t>
        </is>
      </c>
      <c r="P22" s="2" t="inlineStr">
        <is>
          <t>低</t>
        </is>
      </c>
    </row>
    <row r="23" ht="37.95" customHeight="1" s="21">
      <c r="B23" s="45" t="inlineStr">
        <is>
          <t>SUM</t>
        </is>
      </c>
      <c r="C23" s="50" t="n"/>
      <c r="D23" s="50" t="n"/>
      <c r="E23" s="50" t="n"/>
      <c r="F23" s="50" t="n"/>
      <c r="G23" s="29" t="n"/>
      <c r="H23" s="29" t="n"/>
      <c r="I23" s="29" t="n"/>
      <c r="J23" s="29" t="n"/>
      <c r="K23" s="29" t="n"/>
      <c r="L23" s="49" t="n">
        <v>25</v>
      </c>
      <c r="M23" s="49">
        <f>SUM(M3:M22)</f>
        <v/>
      </c>
      <c r="N23" s="49" t="inlineStr">
        <is>
          <t>历史记录覆盖全部 25 项基线需求；初始基线为 25 项，后续维护未新增或删除基线需求。</t>
        </is>
      </c>
      <c r="O23" s="51" t="n"/>
      <c r="P23" s="52" t="n"/>
    </row>
  </sheetData>
  <autoFilter ref="B2:P22"/>
  <mergeCells count="3">
    <mergeCell ref="N23:P23"/>
    <mergeCell ref="B1:P1"/>
    <mergeCell ref="B23:F23"/>
  </mergeCells>
  <pageMargins left="0.7" right="0.7" top="0.75" bottom="0.75" header="0.3" footer="0.3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K33"/>
  <sheetViews>
    <sheetView showGridLines="0" workbookViewId="0">
      <pane xSplit="5" ySplit="4" topLeftCell="F5" activePane="bottomRight" state="frozen"/>
      <selection pane="topRight" activeCell="F1" sqref="F1"/>
      <selection pane="bottomLeft" activeCell="A6" sqref="A6"/>
      <selection pane="bottomRight" activeCell="F5" sqref="F5"/>
    </sheetView>
  </sheetViews>
  <sheetFormatPr baseColWidth="8" defaultRowHeight="14.4"/>
  <cols>
    <col width="2.6640625" customWidth="1" style="21" min="1" max="1"/>
    <col width="13.6640625" customWidth="1" style="21" min="2" max="2"/>
    <col width="15.6640625" customWidth="1" style="21" min="3" max="3"/>
    <col width="18.6640625" customWidth="1" style="21" min="4" max="4"/>
    <col width="24.6640625" customWidth="1" style="21" min="5" max="5"/>
    <col width="72.6640625" customWidth="1" style="21" min="6" max="6"/>
    <col width="8.6640625" customWidth="1" style="21" min="7" max="9"/>
    <col width="20.6640625" customWidth="1" style="21" min="10" max="10"/>
    <col width="14.6640625" customWidth="1" style="21" min="11" max="11"/>
  </cols>
  <sheetData>
    <row r="1" ht="21" customHeight="1" s="21">
      <c r="B1" s="5" t="inlineStr">
        <is>
          <t>需求跟踪矩阵（RTM）</t>
        </is>
      </c>
    </row>
    <row r="2" ht="20.4" customHeight="1" s="21">
      <c r="B2" s="31" t="inlineStr">
        <is>
          <t>项目名称：</t>
        </is>
      </c>
      <c r="C2" s="31" t="inlineStr">
        <is>
          <t>基于大模型的个人知识库系统</t>
        </is>
      </c>
      <c r="D2" s="52" t="n"/>
      <c r="E2" s="32" t="inlineStr">
        <is>
          <t>PM：吴剑光</t>
        </is>
      </c>
      <c r="F2" s="34" t="inlineStr">
        <is>
          <t>承担：杨帆、李子昂、高见彰、于松泽、王弘宇</t>
        </is>
      </c>
      <c r="G2" s="57" t="n"/>
      <c r="H2" s="35" t="n"/>
      <c r="I2" s="35" t="n"/>
      <c r="J2" s="36" t="n"/>
      <c r="K2" s="29" t="n"/>
    </row>
    <row r="3" ht="15.6" customHeight="1" s="21">
      <c r="B3" s="1" t="inlineStr">
        <is>
          <t>No.</t>
        </is>
      </c>
      <c r="C3" s="1" t="inlineStr">
        <is>
          <t>大分类</t>
        </is>
      </c>
      <c r="D3" s="1" t="inlineStr">
        <is>
          <t>中分类</t>
        </is>
      </c>
      <c r="E3" s="1" t="inlineStr">
        <is>
          <t>小分类</t>
        </is>
      </c>
      <c r="F3" s="1" t="inlineStr">
        <is>
          <t>详细说明</t>
        </is>
      </c>
      <c r="G3" s="1" t="inlineStr">
        <is>
          <t>PD</t>
        </is>
      </c>
      <c r="H3" s="1" t="inlineStr">
        <is>
          <t>COD</t>
        </is>
      </c>
      <c r="I3" s="1" t="inlineStr">
        <is>
          <t>UT</t>
        </is>
      </c>
      <c r="J3" s="1" t="inlineStr">
        <is>
          <t>担当者</t>
        </is>
      </c>
      <c r="K3" s="1" t="inlineStr">
        <is>
          <t>责任者</t>
        </is>
      </c>
    </row>
    <row r="4" ht="15.6" customHeight="1" s="21">
      <c r="B4" s="29" t="n"/>
      <c r="C4" s="1" t="inlineStr">
        <is>
          <t>（模块）</t>
        </is>
      </c>
      <c r="D4" s="1" t="inlineStr">
        <is>
          <t>（子模块）</t>
        </is>
      </c>
      <c r="E4" s="1" t="inlineStr">
        <is>
          <t>（功能点）</t>
        </is>
      </c>
      <c r="F4" s="29" t="n"/>
      <c r="G4" s="23" t="n"/>
      <c r="H4" s="23" t="n"/>
      <c r="I4" s="23" t="n"/>
      <c r="J4" s="29" t="n"/>
      <c r="K4" s="29" t="n"/>
    </row>
    <row r="5" ht="84" customHeight="1" s="21">
      <c r="B5" s="4" t="inlineStr">
        <is>
          <t>FR-001</t>
        </is>
      </c>
      <c r="C5" s="27" t="inlineStr">
        <is>
          <t>模型配置</t>
        </is>
      </c>
      <c r="D5" s="27" t="inlineStr">
        <is>
          <t>供应商与参数</t>
        </is>
      </c>
      <c r="E5" s="27" t="inlineStr">
        <is>
          <t>模型供应商管理</t>
        </is>
      </c>
      <c r="F5" s="28" t="inlineStr">
        <is>
          <t>查看内置供应商，保存供应商参数，API Key 加密保存并脱敏回显；维护修复 AES 占位密钥错误，支持 WENKB_AES_KEY/WENKB_AES_IV 覆盖。依据：requirements_analysis.md §6；/sys/model/prvd/*；secretutils.py；test_code_maintenance.py</t>
        </is>
      </c>
      <c r="G5" s="24" t="inlineStr">
        <is>
          <t>○</t>
        </is>
      </c>
      <c r="H5" s="25" t="inlineStr">
        <is>
          <t>△</t>
        </is>
      </c>
      <c r="I5" s="25" t="inlineStr">
        <is>
          <t>△</t>
        </is>
      </c>
      <c r="J5" s="27" t="inlineStr">
        <is>
          <t>杨帆</t>
        </is>
      </c>
      <c r="K5" s="27" t="inlineStr">
        <is>
          <t>杨帆</t>
        </is>
      </c>
    </row>
    <row r="6" ht="84" customHeight="1" s="21">
      <c r="B6" s="4" t="inlineStr">
        <is>
          <t>FR-002</t>
        </is>
      </c>
      <c r="C6" s="27" t="inlineStr">
        <is>
          <t>模型配置</t>
        </is>
      </c>
      <c r="D6" s="27" t="inlineStr">
        <is>
          <t>模型与类型</t>
        </is>
      </c>
      <c r="E6" s="27" t="inlineStr">
        <is>
          <t>模型管理</t>
        </is>
      </c>
      <c r="F6" s="28" t="inlineStr">
        <is>
          <t>添加供应商模型，维护模型级参数，并按 llm/text-embedding/tts 类型过滤；维护覆盖 OpenAI 兼容聊天与 embedding 客户端初始化。依据：requirements_analysis.md §6；/sys/model/prvd/modl/*；llm_client_tools.py；test_code_maintenance.py</t>
        </is>
      </c>
      <c r="G6" s="24" t="inlineStr">
        <is>
          <t>○</t>
        </is>
      </c>
      <c r="H6" s="24" t="inlineStr">
        <is>
          <t>○</t>
        </is>
      </c>
      <c r="I6" s="25" t="inlineStr">
        <is>
          <t>△</t>
        </is>
      </c>
      <c r="J6" s="27" t="inlineStr">
        <is>
          <t>杨帆</t>
        </is>
      </c>
      <c r="K6" s="27" t="inlineStr">
        <is>
          <t>杨帆</t>
        </is>
      </c>
    </row>
    <row r="7" ht="84" customHeight="1" s="21">
      <c r="B7" s="4" t="inlineStr">
        <is>
          <t>FR-003</t>
        </is>
      </c>
      <c r="C7" s="27" t="inlineStr">
        <is>
          <t>模型配置</t>
        </is>
      </c>
      <c r="D7" s="27" t="inlineStr">
        <is>
          <t>默认模型</t>
        </is>
      </c>
      <c r="E7" s="27" t="inlineStr">
        <is>
          <t>模型首选项</t>
        </is>
      </c>
      <c r="F7" s="28" t="inlineStr">
        <is>
          <t>选择默认 LLM；未配置时问答给出明确提示，配置后供聊天和增强流程使用；维护验证多供应商客户端可正常初始化。依据：requirements_analysis.md §6；/sys/setting/user；config/llm.py；test_code_maintenance.py</t>
        </is>
      </c>
      <c r="G7" s="24" t="inlineStr">
        <is>
          <t>○</t>
        </is>
      </c>
      <c r="H7" s="24" t="inlineStr">
        <is>
          <t>○</t>
        </is>
      </c>
      <c r="I7" s="25" t="inlineStr">
        <is>
          <t>△</t>
        </is>
      </c>
      <c r="J7" s="27" t="inlineStr">
        <is>
          <t>杨帆</t>
        </is>
      </c>
      <c r="K7" s="27" t="inlineStr">
        <is>
          <t>杨帆</t>
        </is>
      </c>
    </row>
    <row r="8" ht="84" customHeight="1" s="21">
      <c r="B8" s="4" t="inlineStr">
        <is>
          <t>FR-004</t>
        </is>
      </c>
      <c r="C8" s="27" t="inlineStr">
        <is>
          <t>知识库</t>
        </is>
      </c>
      <c r="D8" s="27" t="inlineStr">
        <is>
          <t>创建与生命周期</t>
        </is>
      </c>
      <c r="E8" s="27" t="inlineStr">
        <is>
          <t>知识库管理</t>
        </is>
      </c>
      <c r="F8" s="28" t="inlineStr">
        <is>
          <t>新建、编辑、删除、查看知识库；创建时校验 embedding 模型并初始化默认设置，已有索引时禁止切换；删除时清理关联数据和向量集合。依据：requirements_analysis.md §6；ReposInfoApi.py；ReposService.py；test_code_maintenance.py</t>
        </is>
      </c>
      <c r="G8" s="24" t="inlineStr">
        <is>
          <t>○</t>
        </is>
      </c>
      <c r="H8" s="24" t="inlineStr">
        <is>
          <t>○</t>
        </is>
      </c>
      <c r="I8" s="25" t="inlineStr">
        <is>
          <t>△</t>
        </is>
      </c>
      <c r="J8" s="27" t="inlineStr">
        <is>
          <t>杨帆</t>
        </is>
      </c>
      <c r="K8" s="27" t="inlineStr">
        <is>
          <t>杨帆</t>
        </is>
      </c>
    </row>
    <row r="9" ht="64.95" customHeight="1" s="21">
      <c r="B9" s="4" t="inlineStr">
        <is>
          <t>FR-005</t>
        </is>
      </c>
      <c r="C9" s="27" t="inlineStr">
        <is>
          <t>知识库</t>
        </is>
      </c>
      <c r="D9" s="27" t="inlineStr">
        <is>
          <t>问答设置</t>
        </is>
      </c>
      <c r="E9" s="27" t="inlineStr">
        <is>
          <t>知识库问答参数配置</t>
        </is>
      </c>
      <c r="F9" s="28" t="inlineStr">
        <is>
          <t>维护 maxContext、maxHistory、temperature、similarityThreshold、topK，并影响后续问答。 依据：requirements_analysis.md §6; /knb/repository/setting; database_design.md §9.2</t>
        </is>
      </c>
      <c r="G9" s="24" t="inlineStr">
        <is>
          <t>○</t>
        </is>
      </c>
      <c r="H9" s="24" t="inlineStr">
        <is>
          <t>○</t>
        </is>
      </c>
      <c r="I9" s="25" t="inlineStr">
        <is>
          <t>△</t>
        </is>
      </c>
      <c r="J9" s="27" t="inlineStr">
        <is>
          <t>王弘宇</t>
        </is>
      </c>
      <c r="K9" s="27" t="inlineStr">
        <is>
          <t>杨帆</t>
        </is>
      </c>
    </row>
    <row r="10" ht="64.95" customHeight="1" s="21">
      <c r="B10" s="4" t="inlineStr">
        <is>
          <t>FR-006</t>
        </is>
      </c>
      <c r="C10" s="27" t="inlineStr">
        <is>
          <t>知识库</t>
        </is>
      </c>
      <c r="D10" s="27" t="inlineStr">
        <is>
          <t>目录</t>
        </is>
      </c>
      <c r="E10" s="27" t="inlineStr">
        <is>
          <t>数据集目录管理</t>
        </is>
      </c>
      <c r="F10" s="28" t="inlineStr">
        <is>
          <t>新增、编辑、删除和排序目录；删除目录后数据集回到未分类。 依据：requirements_analysis.md §6; DatasetApi.py catalog routes</t>
        </is>
      </c>
      <c r="G10" s="24" t="inlineStr">
        <is>
          <t>○</t>
        </is>
      </c>
      <c r="H10" s="24" t="inlineStr">
        <is>
          <t>○</t>
        </is>
      </c>
      <c r="I10" s="25" t="inlineStr">
        <is>
          <t>△</t>
        </is>
      </c>
      <c r="J10" s="27" t="inlineStr">
        <is>
          <t>高见彰</t>
        </is>
      </c>
      <c r="K10" s="27" t="inlineStr">
        <is>
          <t>杨帆</t>
        </is>
      </c>
    </row>
    <row r="11" ht="64.95" customHeight="1" s="21">
      <c r="B11" s="4" t="inlineStr">
        <is>
          <t>FR-007</t>
        </is>
      </c>
      <c r="C11" s="27" t="inlineStr">
        <is>
          <t>数据集</t>
        </is>
      </c>
      <c r="D11" s="27" t="inlineStr">
        <is>
          <t>文件上传</t>
        </is>
      </c>
      <c r="E11" s="27" t="inlineStr">
        <is>
          <t>文档导入</t>
        </is>
      </c>
      <c r="F11" s="28" t="inlineStr">
        <is>
          <t>批量导入 PDF、DOCX、TXT、PPT/PPTX、MD，保存原始文件和记录并进入待索引状态。 依据：requirements_analysis.md §6; /knb/dataset/upload/document; FileApi.py</t>
        </is>
      </c>
      <c r="G11" s="24" t="inlineStr">
        <is>
          <t>○</t>
        </is>
      </c>
      <c r="H11" s="24" t="inlineStr">
        <is>
          <t>○</t>
        </is>
      </c>
      <c r="I11" s="25" t="inlineStr">
        <is>
          <t>△</t>
        </is>
      </c>
      <c r="J11" s="27" t="inlineStr">
        <is>
          <t>李子昂</t>
        </is>
      </c>
      <c r="K11" s="27" t="inlineStr">
        <is>
          <t>杨帆</t>
        </is>
      </c>
    </row>
    <row r="12" ht="64.95" customHeight="1" s="21">
      <c r="B12" s="4" t="inlineStr">
        <is>
          <t>FR-008</t>
        </is>
      </c>
      <c r="C12" s="27" t="inlineStr">
        <is>
          <t>数据集</t>
        </is>
      </c>
      <c r="D12" s="27" t="inlineStr">
        <is>
          <t>URL 导入</t>
        </is>
      </c>
      <c r="E12" s="27" t="inlineStr">
        <is>
          <t>网页链接导入</t>
        </is>
      </c>
      <c r="F12" s="28" t="inlineStr">
        <is>
          <t>批量输入 URL，校验格式，保存链接和标题；抓取失败保留错误信息。 依据：requirements_analysis.md §6; /knb/dataset/upload/link; /links/title</t>
        </is>
      </c>
      <c r="G12" s="24" t="inlineStr">
        <is>
          <t>○</t>
        </is>
      </c>
      <c r="H12" s="24" t="inlineStr">
        <is>
          <t>○</t>
        </is>
      </c>
      <c r="I12" s="25" t="inlineStr">
        <is>
          <t>△</t>
        </is>
      </c>
      <c r="J12" s="27" t="inlineStr">
        <is>
          <t>于松泽</t>
        </is>
      </c>
      <c r="K12" s="27" t="inlineStr">
        <is>
          <t>杨帆</t>
        </is>
      </c>
    </row>
    <row r="13" ht="84" customHeight="1" s="21">
      <c r="B13" s="4" t="inlineStr">
        <is>
          <t>FR-009</t>
        </is>
      </c>
      <c r="C13" s="27" t="inlineStr">
        <is>
          <t>索引</t>
        </is>
      </c>
      <c r="D13" s="27" t="inlineStr">
        <is>
          <t>主索引任务</t>
        </is>
      </c>
      <c r="E13" s="27" t="inlineStr">
        <is>
          <t>索引构建</t>
        </is>
      </c>
      <c r="F13" s="28" t="inlineStr">
        <is>
          <t>后台扫描启用数据集，执行解析、切分、向量写入，维护 new/order/index/ready/error 状态并支持重试；维护同步数据库版本 5、迁移脚本和本地 embedding 资源校验，包括 Git LFS 占位权重检查。依据：architecture_design.md §6；Scheduler.py；DatasetToVectorQueue.py；ddl/0.sql、ddl/2.sql、ddl/5.sql；test_code_maintenance.py</t>
        </is>
      </c>
      <c r="G13" s="24" t="inlineStr">
        <is>
          <t>○</t>
        </is>
      </c>
      <c r="H13" s="24" t="inlineStr">
        <is>
          <t>○</t>
        </is>
      </c>
      <c r="I13" s="24" t="inlineStr">
        <is>
          <t>○</t>
        </is>
      </c>
      <c r="J13" s="27" t="inlineStr">
        <is>
          <t>杨帆</t>
        </is>
      </c>
      <c r="K13" s="27" t="inlineStr">
        <is>
          <t>杨帆</t>
        </is>
      </c>
    </row>
    <row r="14" ht="64.95" customHeight="1" s="21">
      <c r="B14" s="4" t="inlineStr">
        <is>
          <t>FR-010</t>
        </is>
      </c>
      <c r="C14" s="27" t="inlineStr">
        <is>
          <t>索引</t>
        </is>
      </c>
      <c r="D14" s="27" t="inlineStr">
        <is>
          <t>分段</t>
        </is>
      </c>
      <c r="E14" s="27" t="inlineStr">
        <is>
          <t>分段管理</t>
        </is>
      </c>
      <c r="F14" s="28" t="inlineStr">
        <is>
          <t>分页查看、编辑和删除分段，并同步更新或删除向量记录。 依据：requirements_analysis.md §6; DatasetApi.py chunk routes; DatasetService.py</t>
        </is>
      </c>
      <c r="G14" s="24" t="inlineStr">
        <is>
          <t>○</t>
        </is>
      </c>
      <c r="H14" s="24" t="inlineStr">
        <is>
          <t>○</t>
        </is>
      </c>
      <c r="I14" s="25" t="inlineStr">
        <is>
          <t>△</t>
        </is>
      </c>
      <c r="J14" s="27" t="inlineStr">
        <is>
          <t>李子昂</t>
        </is>
      </c>
      <c r="K14" s="27" t="inlineStr">
        <is>
          <t>杨帆</t>
        </is>
      </c>
    </row>
    <row r="15" ht="64.95" customHeight="1" s="21">
      <c r="B15" s="4" t="inlineStr">
        <is>
          <t>FR-011</t>
        </is>
      </c>
      <c r="C15" s="27" t="inlineStr">
        <is>
          <t>知识增强</t>
        </is>
      </c>
      <c r="D15" s="27" t="inlineStr">
        <is>
          <t>摘要</t>
        </is>
      </c>
      <c r="E15" s="27" t="inlineStr">
        <is>
          <t>摘要增强</t>
        </is>
      </c>
      <c r="F15" s="28" t="inlineStr">
        <is>
          <t>手动触发摘要生成，追踪状态，支持查看、编辑、删除并写入向量库。 依据：architecture_design.md §6; dataset_to_enhance.py; DatasetApi.py precis routes</t>
        </is>
      </c>
      <c r="G15" s="24" t="inlineStr">
        <is>
          <t>○</t>
        </is>
      </c>
      <c r="H15" s="24" t="inlineStr">
        <is>
          <t>○</t>
        </is>
      </c>
      <c r="I15" s="25" t="inlineStr">
        <is>
          <t>△</t>
        </is>
      </c>
      <c r="J15" s="27" t="inlineStr">
        <is>
          <t>杨帆</t>
        </is>
      </c>
      <c r="K15" s="27" t="inlineStr">
        <is>
          <t>杨帆</t>
        </is>
      </c>
    </row>
    <row r="16" ht="64.95" customHeight="1" s="21">
      <c r="B16" s="4" t="inlineStr">
        <is>
          <t>FR-012</t>
        </is>
      </c>
      <c r="C16" s="27" t="inlineStr">
        <is>
          <t>知识增强</t>
        </is>
      </c>
      <c r="D16" s="27" t="inlineStr">
        <is>
          <t>问答对</t>
        </is>
      </c>
      <c r="E16" s="27" t="inlineStr">
        <is>
          <t>Q&amp;A 增强</t>
        </is>
      </c>
      <c r="F16" s="28" t="inlineStr">
        <is>
          <t>自动 Q&amp;A 与人工 Q&amp;A 区分来源，写入向量库并可供聊天展示候选问题。 依据：requirements_analysis.md §6; ReposInfoApi.py quest routes; dataset_to_enhance.py</t>
        </is>
      </c>
      <c r="G16" s="24" t="inlineStr">
        <is>
          <t>○</t>
        </is>
      </c>
      <c r="H16" s="24" t="inlineStr">
        <is>
          <t>○</t>
        </is>
      </c>
      <c r="I16" s="25" t="inlineStr">
        <is>
          <t>△</t>
        </is>
      </c>
      <c r="J16" s="27" t="inlineStr">
        <is>
          <t>高见彰</t>
        </is>
      </c>
      <c r="K16" s="27" t="inlineStr">
        <is>
          <t>杨帆</t>
        </is>
      </c>
    </row>
    <row r="17" ht="64.95" customHeight="1" s="21">
      <c r="B17" s="4" t="inlineStr">
        <is>
          <t>FR-013</t>
        </is>
      </c>
      <c r="C17" s="27" t="inlineStr">
        <is>
          <t>知识增强</t>
        </is>
      </c>
      <c r="D17" s="27" t="inlineStr">
        <is>
          <t>三元组</t>
        </is>
      </c>
      <c r="E17" s="27" t="inlineStr">
        <is>
          <t>知识图谱三元组</t>
        </is>
      </c>
      <c r="F17" s="28" t="inlineStr">
        <is>
          <t>抽取主体、关系、客体，支持表格/图谱查看、增删改并写入向量库。 依据：requirements_analysis.md §6; DatasetApi.py triplet routes; dataset_to_enhance.py</t>
        </is>
      </c>
      <c r="G17" s="24" t="inlineStr">
        <is>
          <t>○</t>
        </is>
      </c>
      <c r="H17" s="24" t="inlineStr">
        <is>
          <t>○</t>
        </is>
      </c>
      <c r="I17" s="25" t="inlineStr">
        <is>
          <t>△</t>
        </is>
      </c>
      <c r="J17" s="27" t="inlineStr">
        <is>
          <t>杨帆</t>
        </is>
      </c>
      <c r="K17" s="27" t="inlineStr">
        <is>
          <t>杨帆</t>
        </is>
      </c>
    </row>
    <row r="18" ht="84" customHeight="1" s="21">
      <c r="B18" s="4" t="inlineStr">
        <is>
          <t>FR-014</t>
        </is>
      </c>
      <c r="C18" s="27" t="inlineStr">
        <is>
          <t>问答检索</t>
        </is>
      </c>
      <c r="D18" s="27" t="inlineStr">
        <is>
          <t>聊天</t>
        </is>
      </c>
      <c r="E18" s="27" t="inlineStr">
        <is>
          <t>知识库问答</t>
        </is>
      </c>
      <c r="F18" s="28" t="inlineStr">
        <is>
          <t>选择知识库进行多轮问答，流式输出，展示引用并支持重新生成；维护补充生成中断时的兜底消息和最终内容持久化。依据：api_design.md §9；ChatApi.py；ask_to_llm.py；test_code_maintenance.py</t>
        </is>
      </c>
      <c r="G18" s="24" t="inlineStr">
        <is>
          <t>○</t>
        </is>
      </c>
      <c r="H18" s="24" t="inlineStr">
        <is>
          <t>○</t>
        </is>
      </c>
      <c r="I18" s="24" t="inlineStr">
        <is>
          <t>○</t>
        </is>
      </c>
      <c r="J18" s="27" t="inlineStr">
        <is>
          <t>杨帆</t>
        </is>
      </c>
      <c r="K18" s="27" t="inlineStr">
        <is>
          <t>杨帆</t>
        </is>
      </c>
    </row>
    <row r="19" ht="84" customHeight="1" s="21">
      <c r="B19" s="4" t="inlineStr">
        <is>
          <t>FR-015</t>
        </is>
      </c>
      <c r="C19" s="27" t="inlineStr">
        <is>
          <t>问答检索</t>
        </is>
      </c>
      <c r="D19" s="27" t="inlineStr">
        <is>
          <t>引用</t>
        </is>
      </c>
      <c r="E19" s="27" t="inlineStr">
        <is>
          <t>引用溯源</t>
        </is>
      </c>
      <c r="F19" s="28" t="inlineStr">
        <is>
          <t>引用至少保留数据集、文件、类型、相似度和片段内容，用户可从回答查看来源；维护新增引用快照、稳定来源标识和关联清理。依据：api_design.md §9；t_knb_chat_quote；ask_to_llm.py；test_code_maintenance.py</t>
        </is>
      </c>
      <c r="G19" s="24" t="inlineStr">
        <is>
          <t>○</t>
        </is>
      </c>
      <c r="H19" s="24" t="inlineStr">
        <is>
          <t>○</t>
        </is>
      </c>
      <c r="I19" s="24" t="inlineStr">
        <is>
          <t>○</t>
        </is>
      </c>
      <c r="J19" s="27" t="inlineStr">
        <is>
          <t>于松泽</t>
        </is>
      </c>
      <c r="K19" s="27" t="inlineStr">
        <is>
          <t>杨帆</t>
        </is>
      </c>
    </row>
    <row r="20" ht="84" customHeight="1" s="21">
      <c r="B20" s="4" t="inlineStr">
        <is>
          <t>FR-016</t>
        </is>
      </c>
      <c r="C20" s="27" t="inlineStr">
        <is>
          <t>搜索</t>
        </is>
      </c>
      <c r="D20" s="27" t="inlineStr">
        <is>
          <t>语义检索</t>
        </is>
      </c>
      <c r="E20" s="27" t="inlineStr">
        <is>
          <t>全局搜索</t>
        </is>
      </c>
      <c r="F20" s="28" t="inlineStr">
        <is>
          <t>支持关键词或自然语言搜索，返回来源信息并可跳转知识库或数据集；维护修复搜索结果元数据缺失时 dtsetId 未定义问题。依据：requirements_analysis.md §6；SearchApi.py；/knb/search；test_code_maintenance.py</t>
        </is>
      </c>
      <c r="G20" s="24" t="inlineStr">
        <is>
          <t>○</t>
        </is>
      </c>
      <c r="H20" s="24" t="inlineStr">
        <is>
          <t>○</t>
        </is>
      </c>
      <c r="I20" s="25" t="inlineStr">
        <is>
          <t>△</t>
        </is>
      </c>
      <c r="J20" s="27" t="inlineStr">
        <is>
          <t>杨帆</t>
        </is>
      </c>
      <c r="K20" s="27" t="inlineStr">
        <is>
          <t>杨帆</t>
        </is>
      </c>
    </row>
    <row r="21" ht="84" customHeight="1" s="21">
      <c r="B21" s="4" t="inlineStr">
        <is>
          <t>FR-017</t>
        </is>
      </c>
      <c r="C21" s="27" t="inlineStr">
        <is>
          <t>文档集</t>
        </is>
      </c>
      <c r="D21" s="27" t="inlineStr">
        <is>
          <t>文档与版本</t>
        </is>
      </c>
      <c r="E21" s="27" t="inlineStr">
        <is>
          <t>文档集管理</t>
        </is>
      </c>
      <c r="F21" s="28" t="inlineStr">
        <is>
          <t>管理文档集和文档，自动保存版本快照，并支持文档转知识库数据集；维护补充删除时的版本级联清理和转数据集权限校验。依据：code_maintenance_handoff.md §3.5；DocsetInfoApi.py；DocsetService.py；test_code_maintenance.py</t>
        </is>
      </c>
      <c r="G21" s="24" t="inlineStr">
        <is>
          <t>○</t>
        </is>
      </c>
      <c r="H21" s="24" t="inlineStr">
        <is>
          <t>○</t>
        </is>
      </c>
      <c r="I21" s="25" t="inlineStr">
        <is>
          <t>△</t>
        </is>
      </c>
      <c r="J21" s="27" t="inlineStr">
        <is>
          <t>杨帆</t>
        </is>
      </c>
      <c r="K21" s="27" t="inlineStr">
        <is>
          <t>杨帆</t>
        </is>
      </c>
    </row>
    <row r="22" ht="64.95" customHeight="1" s="21">
      <c r="B22" s="4" t="inlineStr">
        <is>
          <t>FR-018</t>
        </is>
      </c>
      <c r="C22" s="27" t="inlineStr">
        <is>
          <t>扩展能力</t>
        </is>
      </c>
      <c r="D22" s="27" t="inlineStr">
        <is>
          <t>流程节点</t>
        </is>
      </c>
      <c r="E22" s="27" t="inlineStr">
        <is>
          <t>应用编排</t>
        </is>
      </c>
      <c r="F22" s="28" t="inlineStr">
        <is>
          <t>现有应用信息和流程节点页面作为后续轻量 Agent 编排扩展，目标支持节点配置与调试。 依据：requirements_analysis.md §6; wenkb-client/src/views/main/appinfo</t>
        </is>
      </c>
      <c r="G22" s="24" t="inlineStr">
        <is>
          <t>○</t>
        </is>
      </c>
      <c r="H22" s="25" t="inlineStr">
        <is>
          <t>△</t>
        </is>
      </c>
      <c r="I22" s="26" t="inlineStr">
        <is>
          <t>×</t>
        </is>
      </c>
      <c r="J22" s="27" t="inlineStr">
        <is>
          <t>杨帆</t>
        </is>
      </c>
      <c r="K22" s="27" t="inlineStr">
        <is>
          <t>杨帆</t>
        </is>
      </c>
    </row>
    <row r="23" ht="84" customHeight="1" s="21">
      <c r="B23" s="4" t="inlineStr">
        <is>
          <t>NFR-001</t>
        </is>
      </c>
      <c r="C23" s="27" t="inlineStr">
        <is>
          <t>质量属性</t>
        </is>
      </c>
      <c r="D23" s="27" t="inlineStr">
        <is>
          <t>状态与提示</t>
        </is>
      </c>
      <c r="E23" s="27" t="inlineStr">
        <is>
          <t>可用性</t>
        </is>
      </c>
      <c r="F23" s="28" t="inlineStr">
        <is>
          <t>启动、导入、索引和问答过程展示状态；失败提供明确错误与恢复建议；维护新增 GET /health 数据库健康检查和统一响应。依据：requirements_analysis.md §7；HealthApi.py；app.py；test_code_maintenance.py</t>
        </is>
      </c>
      <c r="G23" s="24" t="inlineStr">
        <is>
          <t>○</t>
        </is>
      </c>
      <c r="H23" s="24" t="inlineStr">
        <is>
          <t>○</t>
        </is>
      </c>
      <c r="I23" s="24" t="inlineStr">
        <is>
          <t>○</t>
        </is>
      </c>
      <c r="J23" s="27" t="inlineStr">
        <is>
          <t>王弘宇</t>
        </is>
      </c>
      <c r="K23" s="27" t="inlineStr">
        <is>
          <t>杨帆</t>
        </is>
      </c>
    </row>
    <row r="24" ht="64.95" customHeight="1" s="21">
      <c r="B24" s="4" t="inlineStr">
        <is>
          <t>NFR-002</t>
        </is>
      </c>
      <c r="C24" s="27" t="inlineStr">
        <is>
          <t>质量属性</t>
        </is>
      </c>
      <c r="D24" s="27" t="inlineStr">
        <is>
          <t>异步与流式</t>
        </is>
      </c>
      <c r="E24" s="27" t="inlineStr">
        <is>
          <t>性能</t>
        </is>
      </c>
      <c r="F24" s="28" t="inlineStr">
        <is>
          <t>导入/索引异步执行，向量批量写入，问答采用流式响应降低等待感。 依据：architecture_design.md §9; Scheduler.py; ChatApi.py SSE/WS flow</t>
        </is>
      </c>
      <c r="G24" s="24" t="inlineStr">
        <is>
          <t>○</t>
        </is>
      </c>
      <c r="H24" s="24" t="inlineStr">
        <is>
          <t>○</t>
        </is>
      </c>
      <c r="I24" s="25" t="inlineStr">
        <is>
          <t>△</t>
        </is>
      </c>
      <c r="J24" s="27" t="inlineStr">
        <is>
          <t>杨帆</t>
        </is>
      </c>
      <c r="K24" s="27" t="inlineStr">
        <is>
          <t>杨帆</t>
        </is>
      </c>
    </row>
    <row r="25" ht="84" customHeight="1" s="21">
      <c r="B25" s="4" t="inlineStr">
        <is>
          <t>NFR-003</t>
        </is>
      </c>
      <c r="C25" s="27" t="inlineStr">
        <is>
          <t>质量属性</t>
        </is>
      </c>
      <c r="D25" s="27" t="inlineStr">
        <is>
          <t>失败恢复</t>
        </is>
      </c>
      <c r="E25" s="27" t="inlineStr">
        <is>
          <t>可靠性</t>
        </is>
      </c>
      <c r="F25" s="28" t="inlineStr">
        <is>
          <t>后台任务失败不拖垮服务，索引失败可查询并重试，避免相对路径导致启动失败；维护补充失败回落、旧错误记录清理、数据库升级关闭 SQL 文件和资源完整性提示。依据：code_maintenance_handoff.md §3.7、§3.15；DatasetToVectorQueue.py；DbUpgrade.py；test_code_maintenance.py</t>
        </is>
      </c>
      <c r="G25" s="24" t="inlineStr">
        <is>
          <t>○</t>
        </is>
      </c>
      <c r="H25" s="25" t="inlineStr">
        <is>
          <t>△</t>
        </is>
      </c>
      <c r="I25" s="24" t="inlineStr">
        <is>
          <t>○</t>
        </is>
      </c>
      <c r="J25" s="27" t="inlineStr">
        <is>
          <t>杨帆</t>
        </is>
      </c>
      <c r="K25" s="27" t="inlineStr">
        <is>
          <t>杨帆</t>
        </is>
      </c>
    </row>
    <row r="26" ht="84" customHeight="1" s="21">
      <c r="B26" s="4" t="inlineStr">
        <is>
          <t>NFR-004</t>
        </is>
      </c>
      <c r="C26" s="27" t="inlineStr">
        <is>
          <t>质量属性</t>
        </is>
      </c>
      <c r="D26" s="27" t="inlineStr">
        <is>
          <t>密钥与权限</t>
        </is>
      </c>
      <c r="E26" s="27" t="inlineStr">
        <is>
          <t>安全性</t>
        </is>
      </c>
      <c r="F26" s="28" t="inlineStr">
        <is>
          <t>API Key 加密存储并脱敏；知识库、数据集、聊天等写接口执行访问控制；维护覆盖 AES 参数校验、当前用户可见范围和删除清理规则。依据：requirements_analysis.md §7；secretutils.py；ChatApi.py；DatasetApi.py；ReposInfoApi.py；test_code_maintenance.py</t>
        </is>
      </c>
      <c r="G26" s="24" t="inlineStr">
        <is>
          <t>○</t>
        </is>
      </c>
      <c r="H26" s="25" t="inlineStr">
        <is>
          <t>△</t>
        </is>
      </c>
      <c r="I26" s="25" t="inlineStr">
        <is>
          <t>△</t>
        </is>
      </c>
      <c r="J26" s="27" t="inlineStr">
        <is>
          <t>杨帆</t>
        </is>
      </c>
      <c r="K26" s="27" t="inlineStr">
        <is>
          <t>杨帆</t>
        </is>
      </c>
    </row>
    <row r="27" ht="84" customHeight="1" s="21">
      <c r="B27" s="4" t="inlineStr">
        <is>
          <t>NFR-005</t>
        </is>
      </c>
      <c r="C27" s="27" t="inlineStr">
        <is>
          <t>质量属性</t>
        </is>
      </c>
      <c r="D27" s="27" t="inlineStr">
        <is>
          <t>文档与边界</t>
        </is>
      </c>
      <c r="E27" s="27" t="inlineStr">
        <is>
          <t>可维护性</t>
        </is>
      </c>
      <c r="F27" s="28" t="inlineStr">
        <is>
          <t>需求、设计、测试、部署和维护文档持续同步，模型、解析、向量库模块边界清晰；维护补充测试计划、操作手册、变更管理、知识问答记录和需求跟踪矩阵。依据：AGENTS.md；code_maintenance_handoff.md；tests/* documentation tests</t>
        </is>
      </c>
      <c r="G27" s="24" t="inlineStr">
        <is>
          <t>○</t>
        </is>
      </c>
      <c r="H27" s="24" t="inlineStr">
        <is>
          <t>○</t>
        </is>
      </c>
      <c r="I27" s="24" t="inlineStr">
        <is>
          <t>○</t>
        </is>
      </c>
      <c r="J27" s="27" t="inlineStr">
        <is>
          <t>李子昂</t>
        </is>
      </c>
      <c r="K27" s="27" t="inlineStr">
        <is>
          <t>杨帆</t>
        </is>
      </c>
    </row>
    <row r="28" ht="84" customHeight="1" s="21">
      <c r="B28" s="4" t="inlineStr">
        <is>
          <t>NFR-006</t>
        </is>
      </c>
      <c r="C28" s="27" t="inlineStr">
        <is>
          <t>质量属性</t>
        </is>
      </c>
      <c r="D28" s="27" t="inlineStr">
        <is>
          <t>插件式扩展</t>
        </is>
      </c>
      <c r="E28" s="27" t="inlineStr">
        <is>
          <t>可扩展性</t>
        </is>
      </c>
      <c r="F28" s="28" t="inlineStr">
        <is>
          <t>新供应商通过配置扩展，新文件格式通过 loader 扩展，向量数据库可替换；维护覆盖六类 OpenAI 兼容供应商 embedding 初始化和本地 embedding 依赖校验。依据：architecture_design.md §9；llm_client_tools.py；file_tools.py；test_code_maintenance.py</t>
        </is>
      </c>
      <c r="G28" s="24" t="inlineStr">
        <is>
          <t>○</t>
        </is>
      </c>
      <c r="H28" s="24" t="inlineStr">
        <is>
          <t>○</t>
        </is>
      </c>
      <c r="I28" s="24" t="inlineStr">
        <is>
          <t>○</t>
        </is>
      </c>
      <c r="J28" s="27" t="inlineStr">
        <is>
          <t>杨帆</t>
        </is>
      </c>
      <c r="K28" s="27" t="inlineStr">
        <is>
          <t>杨帆</t>
        </is>
      </c>
    </row>
    <row r="29" ht="84" customHeight="1" s="21">
      <c r="B29" s="4" t="inlineStr">
        <is>
          <t>NFR-007</t>
        </is>
      </c>
      <c r="C29" s="27" t="inlineStr">
        <is>
          <t>质量属性</t>
        </is>
      </c>
      <c r="D29" s="27" t="inlineStr">
        <is>
          <t>本地与桌面</t>
        </is>
      </c>
      <c r="E29" s="27" t="inlineStr">
        <is>
          <t>兼容性</t>
        </is>
      </c>
      <c r="F29" s="28" t="inlineStr">
        <is>
          <t>支持浏览器开发模式和 Tauri 桌面端，Windows 本地路径，以及本地/云端模型接入；维护固定 Windows 可用的 torch/fsspec 版本并校验 Git LFS 模型权重。依据：wenkb_operation_guide.md；deployment_guide.md；requirements.txt；test_code_maintenance.py</t>
        </is>
      </c>
      <c r="G29" s="24" t="inlineStr">
        <is>
          <t>○</t>
        </is>
      </c>
      <c r="H29" s="24" t="inlineStr">
        <is>
          <t>○</t>
        </is>
      </c>
      <c r="I29" s="24" t="inlineStr">
        <is>
          <t>○</t>
        </is>
      </c>
      <c r="J29" s="27" t="inlineStr">
        <is>
          <t>杨帆</t>
        </is>
      </c>
      <c r="K29" s="27" t="inlineStr">
        <is>
          <t>杨帆</t>
        </is>
      </c>
    </row>
    <row r="30"/>
    <row r="31"/>
    <row r="32" ht="30" customHeight="1" s="21">
      <c r="B32" s="37" t="inlineStr">
        <is>
          <t>状态说明：○ 已完成（通过评审或测试）；△ 进行中/部分覆盖；× 未着手；N/A 不适用。</t>
        </is>
      </c>
    </row>
    <row r="33" ht="30" customHeight="1" s="21">
      <c r="B33" s="37" t="inlineStr">
        <is>
          <t>PD=需求与设计基线，COD=当前代码实现，UT=当前测试/验证证据。△ 不代表需求取消，而是表示仍有实现或接口级测试缺口。</t>
        </is>
      </c>
    </row>
  </sheetData>
  <autoFilter ref="B4:K29"/>
  <mergeCells count="5">
    <mergeCell ref="F2:G2"/>
    <mergeCell ref="B1:K1"/>
    <mergeCell ref="C2:D2"/>
    <mergeCell ref="B32:K32"/>
    <mergeCell ref="B33:K33"/>
  </mergeCells>
  <dataValidations count="1">
    <dataValidation sqref="G5:I29" showDropDown="0" showInputMessage="1" showErrorMessage="1" allowBlank="1" errorTitle="无效状态" error="状态必须为 ○、△、× 或 N/A" promptTitle="需求状态" prompt="请选择 PD、COD 或 UT 状态" type="list">
      <formula1>"○,△,×,N/A"</formula1>
    </dataValidation>
  </dataValidations>
  <pageMargins left="0.7" right="0.7" top="0.75" bottom="0.75" header="0.3" footer="0.3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15" zoomScaleNormal="115" workbookViewId="0">
      <selection activeCell="AI34" sqref="AI34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15" zoomScaleNormal="115" workbookViewId="0">
      <selection activeCell="A1" sqref="A1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45" zoomScaleNormal="145" workbookViewId="0">
      <selection activeCell="A1" sqref="A1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15" zoomScaleNormal="115" workbookViewId="0">
      <selection activeCell="A1" sqref="A1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项目维护组</dc:creator>
  <dc:title xmlns:dc="http://purl.org/dc/elements/1.1/">WenKB 需求跟踪矩阵</dc:title>
  <dc:subject xmlns:dc="http://purl.org/dc/elements/1.1/">基于需求与设计文档的需求、实现、测试和变更追踪</dc:subject>
  <dcterms:created xmlns:dcterms="http://purl.org/dc/terms/" xmlns:xsi="http://www.w3.org/2001/XMLSchema-instance" xsi:type="dcterms:W3CDTF">2026-09-04T00:35:59Z</dcterms:created>
  <dcterms:modified xmlns:dcterms="http://purl.org/dc/terms/" xmlns:xsi="http://www.w3.org/2001/XMLSchema-instance" xsi:type="dcterms:W3CDTF">2026-09-06T00:05:51Z</dcterms:modified>
  <cp:lastModifiedBy>帆 杨</cp:lastModifiedBy>
</cp:coreProperties>
</file>