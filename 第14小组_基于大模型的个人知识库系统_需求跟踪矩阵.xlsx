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11学习\4.1大四上\校内实习\wenkb-main\"/>
    </mc:Choice>
  </mc:AlternateContent>
  <xr:revisionPtr revIDLastSave="0" documentId="13_ncr:1_{BE69D31F-DD59-4284-A363-B8C2B1D311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需求跟踪矩阵封面" sheetId="1" r:id="rId1"/>
    <sheet name="变更履历" sheetId="2" r:id="rId2"/>
    <sheet name="设计用RTM" sheetId="3" r:id="rId3"/>
    <sheet name="图1" sheetId="4" r:id="rId4"/>
    <sheet name="图2" sheetId="5" r:id="rId5"/>
    <sheet name="图3" sheetId="6" r:id="rId6"/>
    <sheet name="图4" sheetId="7" r:id="rId7"/>
  </sheets>
  <definedNames>
    <definedName name="_xlnm._FilterDatabase" localSheetId="1" hidden="1">变更履历!$B$2:$P$22</definedName>
    <definedName name="_xlnm._FilterDatabase" localSheetId="2" hidden="1">设计用RTM!$B$4:$K$29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2" l="1"/>
</calcChain>
</file>

<file path=xl/sharedStrings.xml><?xml version="1.0" encoding="utf-8"?>
<sst xmlns="http://schemas.openxmlformats.org/spreadsheetml/2006/main" count="458" uniqueCount="214">
  <si>
    <t>密级：</t>
  </si>
  <si>
    <t>机密</t>
  </si>
  <si>
    <t>第 1 版</t>
  </si>
  <si>
    <t>分册名称：无</t>
  </si>
  <si>
    <t>第 1 册/共 1 册</t>
  </si>
  <si>
    <t>基于大模型的个人知识库系统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</si>
  <si>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</si>
  <si>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</si>
  <si>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</si>
  <si>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</si>
  <si>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</si>
  <si>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</si>
  <si>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</si>
  <si>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杨帆</t>
  </si>
  <si>
    <t>审批：</t>
  </si>
  <si>
    <t>变更履历 - WenKB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</si>
  <si>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</si>
  <si>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</si>
  <si>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</si>
  <si>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</si>
  <si>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</si>
  <si>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</si>
  <si>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</si>
  <si>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</si>
  <si>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</si>
  <si>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</si>
  <si>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</si>
  <si>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</si>
  <si>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</si>
  <si>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</si>
  <si>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</si>
  <si>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建立需求分析基线：产品定位、角色、18 项功能需求、7 项非功能需求和验收标准。commit 5786287</t>
  </si>
  <si>
    <t>FR-001~FR-018,NFR-001~NFR-007</t>
  </si>
  <si>
    <t>v0.2</t>
  </si>
  <si>
    <t>项目组</t>
  </si>
  <si>
    <t>高</t>
  </si>
  <si>
    <t>中</t>
  </si>
  <si>
    <t>建立概要设计基线：分层架构、核心模块、数据流、状态模型和质量属性。commit 42e6837</t>
  </si>
  <si>
    <t>建立详细设计基线：核心对象、索引/增强/问答流程、状态机、一致性和异常规则。commit 86ad096</t>
  </si>
  <si>
    <t>v0.1</t>
  </si>
  <si>
    <t>建立数据库设计基线：关系库、向量库、文件系统边界及聊天引用、迁移、删除规则。commit 4d2c685</t>
  </si>
  <si>
    <t>FR-009~FR-017,NFR-003~NFR-006</t>
  </si>
  <si>
    <t>建立接口设计基线：系统配置、知识库、数据集、聊天 SSE、搜索和文档集接口契约。commit 422f1bf</t>
  </si>
  <si>
    <t>FR-001~FR-017,NFR-001~NFR-007</t>
  </si>
  <si>
    <t>建立代码维护交接记录，整理已完成工作、未完成事项、验证结果和恢复建议。commit a65734b</t>
  </si>
  <si>
    <t>NFR-005</t>
  </si>
  <si>
    <t>v0.9</t>
  </si>
  <si>
    <t>低</t>
  </si>
  <si>
    <t>维护数据库迁移、数据库版本 5、访问权限校验、删除清理和聊天失败回落。commit cd643c5</t>
  </si>
  <si>
    <t>FR-004,FR-009,FR-014,FR-015,FR-017,NFR-003,NFR-004</t>
  </si>
  <si>
    <t>更新 AGENTS 维护规则和提交约束，明确文档导航、测试门禁和变更可追溯要求。commit d2bacdb</t>
  </si>
  <si>
    <t>建立测试计划基线，覆盖核心闭环、数据一致性、异常恢复、通过标准和风险。commit 345b152</t>
  </si>
  <si>
    <t>NFR-001~NFR-007</t>
  </si>
  <si>
    <t>同步测试计划导航和 AGENTS 入口，确保文档可发现、可验证。commits 06caee5, dc6419d</t>
  </si>
  <si>
    <t>于松泽</t>
  </si>
  <si>
    <t>建立部署运维基线：本地单机部署、备份恢复、升级回滚、健康检查和局域网演进要求。commit 9b13e1c</t>
  </si>
  <si>
    <t>NFR-001,NFR-003,NFR-005,NFR-007</t>
  </si>
  <si>
    <t>重构开发者与用户手册，补齐本地运行、后台任务、数据维护、首次使用和故障排查。commit 1186a1d</t>
  </si>
  <si>
    <t>FR-001~FR-017,NFR-001,NFR-003,NFR-005,NFR-007</t>
  </si>
  <si>
    <t>王弘宇</t>
  </si>
  <si>
    <t>建立变更管理基线，规范变更等级、影响分析、测试门禁、回滚和 Git 提交关联。commit eddf3be</t>
  </si>
  <si>
    <t>高见彰</t>
  </si>
  <si>
    <t>将 README 重写为工程入口，补齐启动、验证、目录、数据落点和常见问题；合并三次 README 历史提交。commits 1a1c33d,e94d1ac,9a3a650</t>
  </si>
  <si>
    <t>FR-001,FR-004,FR-007,FR-009,FR-014,NFR-001,NFR-003,NFR-005,NFR-007</t>
  </si>
  <si>
    <t>当前</t>
  </si>
  <si>
    <t>李子昂</t>
  </si>
  <si>
    <t>修复模型供应商 API Key AES 占位密钥错误，增加有效默认参数、环境变量覆盖和长度校验。commit 5fc91f5</t>
  </si>
  <si>
    <t>FR-001,NFR-004</t>
  </si>
  <si>
    <t>修复 OpenAI 兼容聊天客户端在 httpx 0.28.x 下传递废弃 proxies 参数的问题，增加显式 HTTP 客户端。commit a9eb772</t>
  </si>
  <si>
    <t>FR-001,FR-002,FR-003,FR-014,NFR-002,NFR-007</t>
  </si>
  <si>
    <t>补齐 OpenAI、DeepSeek、Moonshot、通义、智谱和 NVIDIA embedding 客户端回归覆盖。commit 0eb5781</t>
  </si>
  <si>
    <t>FR-001,FR-002,NFR-002,NFR-006,NFR-007</t>
  </si>
  <si>
    <t>修复 Windows 本地 m3e-small 向量集合创建，固定 torch/fsspec，补充完整权重和 Git LFS 占位校验。commit 300c102</t>
  </si>
  <si>
    <t>FR-009,NFR-002,NFR-003,NFR-006,NFR-007</t>
  </si>
  <si>
    <t>完成软件工程静态评审，修正 AGENTS 导航状态，并登记真实鉴权、上传校验、数据库约束和任务生命周期等遗留风险。commit a2b86e1</t>
  </si>
  <si>
    <t>NFR-003,NFR-004,NFR-005,NFR-007</t>
  </si>
  <si>
    <t>v1.0</t>
  </si>
  <si>
    <t>新增架构与知识点问答记录及文档回归测试，形成持续学习和交接入口。commit 421a29e</t>
  </si>
  <si>
    <t>依据代码维护交接记录，将已完成的模型配置、知识库清理、索引稳定性、问答失败回落、引用快照、搜索元数据、文档版本、健康检查、安全与兼容性维护事项回写到设计用RTM对应需求行；未完成鉴权、上传校验和任务生命周期风险保持未实现。commit 283e2c8</t>
  </si>
  <si>
    <t>FR-001~FR-004,FR-009,FR-014~FR-017,NFR-001,NFR-003~NFR-007</t>
  </si>
  <si>
    <t>完善 Excel 需求跟踪矩阵的变更履历，将维护记录与需求基线、实现证据和回归测试建立直接追踪关系。</t>
  </si>
  <si>
    <t>SUM</t>
  </si>
  <si>
    <t>历史记录覆盖全部 25 项基线需求；初始基线为 25 项，后续维护未新增或删除基线需求。</t>
  </si>
  <si>
    <t>需求跟踪矩阵（RTM）</t>
  </si>
  <si>
    <t>项目名称：</t>
  </si>
  <si>
    <t>PM：吴剑光</t>
  </si>
  <si>
    <t>承担：杨帆、李子昂、高见彰、于松泽、王弘宇</t>
  </si>
  <si>
    <t>No.</t>
  </si>
  <si>
    <t>大分类</t>
  </si>
  <si>
    <t>中分类</t>
  </si>
  <si>
    <t>小分类</t>
  </si>
  <si>
    <t>详细说明</t>
  </si>
  <si>
    <t>PD</t>
  </si>
  <si>
    <t>COD</t>
  </si>
  <si>
    <t>UT</t>
  </si>
  <si>
    <t>担当者</t>
  </si>
  <si>
    <t>责任者</t>
  </si>
  <si>
    <t>（模块）</t>
  </si>
  <si>
    <t>（子模块）</t>
  </si>
  <si>
    <t>（功能点）</t>
  </si>
  <si>
    <t>FR-001</t>
  </si>
  <si>
    <t>模型配置</t>
  </si>
  <si>
    <t>供应商与参数</t>
  </si>
  <si>
    <t>模型供应商管理</t>
  </si>
  <si>
    <t>查看内置供应商，保存供应商参数，API Key 加密保存并脱敏回显；维护修复 AES 占位密钥错误，支持 WENKB_AES_KEY/WENKB_AES_IV 覆盖。依据：requirements_analysis.md §6；/sys/model/prvd/*；secretutils.py；test_code_maintenance.py</t>
  </si>
  <si>
    <t>○</t>
  </si>
  <si>
    <t>△</t>
  </si>
  <si>
    <t>FR-002</t>
  </si>
  <si>
    <t>模型与类型</t>
  </si>
  <si>
    <t>模型管理</t>
  </si>
  <si>
    <t>添加供应商模型，维护模型级参数，并按 llm/text-embedding/tts 类型过滤；维护覆盖 OpenAI 兼容聊天与 embedding 客户端初始化。依据：requirements_analysis.md §6；/sys/model/prvd/modl/*；llm_client_tools.py；test_code_maintenance.py</t>
  </si>
  <si>
    <t>FR-003</t>
  </si>
  <si>
    <t>默认模型</t>
  </si>
  <si>
    <t>模型首选项</t>
  </si>
  <si>
    <t>选择默认 LLM；未配置时问答给出明确提示，配置后供聊天和增强流程使用；维护验证多供应商客户端可正常初始化。依据：requirements_analysis.md §6；/sys/setting/user；config/llm.py；test_code_maintenance.py</t>
  </si>
  <si>
    <t>FR-004</t>
  </si>
  <si>
    <t>知识库</t>
  </si>
  <si>
    <t>创建与生命周期</t>
  </si>
  <si>
    <t>知识库管理</t>
  </si>
  <si>
    <t>新建、编辑、删除、查看知识库；创建时校验 embedding 模型并初始化默认设置，已有索引时禁止切换；删除时清理关联数据和向量集合。依据：requirements_analysis.md §6；ReposInfoApi.py；ReposService.py；test_code_maintenance.py</t>
  </si>
  <si>
    <t>FR-005</t>
  </si>
  <si>
    <t>问答设置</t>
  </si>
  <si>
    <t>知识库问答参数配置</t>
  </si>
  <si>
    <t>维护 maxContext、maxHistory、temperature、similarityThreshold、topK，并影响后续问答。 依据：requirements_analysis.md §6; /knb/repository/setting; database_design.md §9.2</t>
  </si>
  <si>
    <t>FR-006</t>
  </si>
  <si>
    <t>目录</t>
  </si>
  <si>
    <t>数据集目录管理</t>
  </si>
  <si>
    <t>新增、编辑、删除和排序目录；删除目录后数据集回到未分类。 依据：requirements_analysis.md §6; DatasetApi.py catalog routes</t>
  </si>
  <si>
    <t>FR-007</t>
  </si>
  <si>
    <t>数据集</t>
  </si>
  <si>
    <t>文件上传</t>
  </si>
  <si>
    <t>文档导入</t>
  </si>
  <si>
    <t>批量导入 PDF、DOCX、TXT、PPT/PPTX、MD，保存原始文件和记录并进入待索引状态。 依据：requirements_analysis.md §6; /knb/dataset/upload/document; FileApi.py</t>
  </si>
  <si>
    <t>FR-008</t>
  </si>
  <si>
    <t>URL 导入</t>
  </si>
  <si>
    <t>网页链接导入</t>
  </si>
  <si>
    <t>批量输入 URL，校验格式，保存链接和标题；抓取失败保留错误信息。 依据：requirements_analysis.md §6; /knb/dataset/upload/link; /links/title</t>
  </si>
  <si>
    <t>FR-009</t>
  </si>
  <si>
    <t>索引</t>
  </si>
  <si>
    <t>主索引任务</t>
  </si>
  <si>
    <t>索引构建</t>
  </si>
  <si>
    <t>后台扫描启用数据集，执行解析、切分、向量写入，维护 new/order/index/ready/error 状态并支持重试；维护同步数据库版本 5、迁移脚本和本地 embedding 资源校验，包括 Git LFS 占位权重检查。依据：architecture_design.md §6；Scheduler.py；DatasetToVectorQueue.py；ddl/0.sql、ddl/2.sql、ddl/5.sql；test_code_maintenance.py</t>
  </si>
  <si>
    <t>FR-010</t>
  </si>
  <si>
    <t>分段</t>
  </si>
  <si>
    <t>分段管理</t>
  </si>
  <si>
    <t>分页查看、编辑和删除分段，并同步更新或删除向量记录。 依据：requirements_analysis.md §6; DatasetApi.py chunk routes; DatasetService.py</t>
  </si>
  <si>
    <t>FR-011</t>
  </si>
  <si>
    <t>知识增强</t>
  </si>
  <si>
    <t>摘要</t>
  </si>
  <si>
    <t>摘要增强</t>
  </si>
  <si>
    <t>手动触发摘要生成，追踪状态，支持查看、编辑、删除并写入向量库。 依据：architecture_design.md §6; dataset_to_enhance.py; DatasetApi.py precis routes</t>
  </si>
  <si>
    <t>FR-012</t>
  </si>
  <si>
    <t>问答对</t>
  </si>
  <si>
    <t>Q&amp;A 增强</t>
  </si>
  <si>
    <t>自动 Q&amp;A 与人工 Q&amp;A 区分来源，写入向量库并可供聊天展示候选问题。 依据：requirements_analysis.md §6; ReposInfoApi.py quest routes; dataset_to_enhance.py</t>
  </si>
  <si>
    <t>FR-013</t>
  </si>
  <si>
    <t>三元组</t>
  </si>
  <si>
    <t>知识图谱三元组</t>
  </si>
  <si>
    <t>抽取主体、关系、客体，支持表格/图谱查看、增删改并写入向量库。 依据：requirements_analysis.md §6; DatasetApi.py triplet routes; dataset_to_enhance.py</t>
  </si>
  <si>
    <t>FR-014</t>
  </si>
  <si>
    <t>问答检索</t>
  </si>
  <si>
    <t>聊天</t>
  </si>
  <si>
    <t>知识库问答</t>
  </si>
  <si>
    <t>选择知识库进行多轮问答，流式输出，展示引用并支持重新生成；维护补充生成中断时的兜底消息和最终内容持久化。依据：api_design.md §9；ChatApi.py；ask_to_llm.py；test_code_maintenance.py</t>
  </si>
  <si>
    <t>FR-015</t>
  </si>
  <si>
    <t>引用</t>
  </si>
  <si>
    <t>引用溯源</t>
  </si>
  <si>
    <t>引用至少保留数据集、文件、类型、相似度和片段内容，用户可从回答查看来源；维护新增引用快照、稳定来源标识和关联清理。依据：api_design.md §9；t_knb_chat_quote；ask_to_llm.py；test_code_maintenance.py</t>
  </si>
  <si>
    <t>FR-016</t>
  </si>
  <si>
    <t>搜索</t>
  </si>
  <si>
    <t>语义检索</t>
  </si>
  <si>
    <t>全局搜索</t>
  </si>
  <si>
    <t>支持关键词或自然语言搜索，返回来源信息并可跳转知识库或数据集；维护修复搜索结果元数据缺失时 dtsetId 未定义问题。依据：requirements_analysis.md §6；SearchApi.py；/knb/search；test_code_maintenance.py</t>
  </si>
  <si>
    <t>FR-017</t>
  </si>
  <si>
    <t>文档集</t>
  </si>
  <si>
    <t>文档与版本</t>
  </si>
  <si>
    <t>文档集管理</t>
  </si>
  <si>
    <t>管理文档集和文档，自动保存版本快照，并支持文档转知识库数据集；维护补充删除时的版本级联清理和转数据集权限校验。依据：code_maintenance_handoff.md §3.5；DocsetInfoApi.py；DocsetService.py；test_code_maintenance.py</t>
  </si>
  <si>
    <t>FR-018</t>
  </si>
  <si>
    <t>扩展能力</t>
  </si>
  <si>
    <t>流程节点</t>
  </si>
  <si>
    <t>应用编排</t>
  </si>
  <si>
    <t>现有应用信息和流程节点页面作为后续轻量 Agent 编排扩展，目标支持节点配置与调试。 依据：requirements_analysis.md §6; wenkb-client/src/views/main/appinfo</t>
  </si>
  <si>
    <t>×</t>
  </si>
  <si>
    <t>NFR-001</t>
  </si>
  <si>
    <t>质量属性</t>
  </si>
  <si>
    <t>状态与提示</t>
  </si>
  <si>
    <t>可用性</t>
  </si>
  <si>
    <t>启动、导入、索引和问答过程展示状态；失败提供明确错误与恢复建议；维护新增 GET /health 数据库健康检查和统一响应。依据：requirements_analysis.md §7；HealthApi.py；app.py；test_code_maintenance.py</t>
  </si>
  <si>
    <t>NFR-002</t>
  </si>
  <si>
    <t>异步与流式</t>
  </si>
  <si>
    <t>性能</t>
  </si>
  <si>
    <t>导入/索引异步执行，向量批量写入，问答采用流式响应降低等待感。 依据：architecture_design.md §9; Scheduler.py; ChatApi.py SSE/WS flow</t>
  </si>
  <si>
    <t>NFR-003</t>
  </si>
  <si>
    <t>失败恢复</t>
  </si>
  <si>
    <t>可靠性</t>
  </si>
  <si>
    <t>后台任务失败不拖垮服务，索引失败可查询并重试，避免相对路径导致启动失败；维护补充失败回落、旧错误记录清理、数据库升级关闭 SQL 文件和资源完整性提示。依据：code_maintenance_handoff.md §3.7、§3.15；DatasetToVectorQueue.py；DbUpgrade.py；test_code_maintenance.py</t>
  </si>
  <si>
    <t>NFR-004</t>
  </si>
  <si>
    <t>密钥与权限</t>
  </si>
  <si>
    <t>安全性</t>
  </si>
  <si>
    <t>API Key 加密存储并脱敏；知识库、数据集、聊天等写接口执行访问控制；维护覆盖 AES 参数校验、当前用户可见范围和删除清理规则。依据：requirements_analysis.md §7；secretutils.py；ChatApi.py；DatasetApi.py；ReposInfoApi.py；test_code_maintenance.py</t>
  </si>
  <si>
    <t>文档与边界</t>
  </si>
  <si>
    <t>可维护性</t>
  </si>
  <si>
    <t>需求、设计、测试、部署和维护文档持续同步，模型、解析、向量库模块边界清晰；维护补充测试计划、操作手册、变更管理、知识问答记录和需求跟踪矩阵。依据：AGENTS.md；code_maintenance_handoff.md；tests/* documentation tests</t>
  </si>
  <si>
    <t>NFR-006</t>
  </si>
  <si>
    <t>插件式扩展</t>
  </si>
  <si>
    <t>可扩展性</t>
  </si>
  <si>
    <t>新供应商通过配置扩展，新文件格式通过 loader 扩展，向量数据库可替换；维护覆盖六类 OpenAI 兼容供应商 embedding 初始化和本地 embedding 依赖校验。依据：architecture_design.md §9；llm_client_tools.py；file_tools.py；test_code_maintenance.py</t>
  </si>
  <si>
    <t>NFR-007</t>
  </si>
  <si>
    <t>本地与桌面</t>
  </si>
  <si>
    <t>兼容性</t>
  </si>
  <si>
    <t>支持浏览器开发模式和 Tauri 桌面端，Windows 本地路径，以及本地/云端模型接入；维护固定 Windows 可用的 torch/fsspec 版本并校验 Git LFS 模型权重。依据：wenkb_operation_guide.md；deployment_guide.md；requirements.txt；test_code_maintenance.py</t>
  </si>
  <si>
    <t>状态说明：○ 已完成（通过评审或测试）；△ 进行中/部分覆盖；× 未着手；N/A 不适用。</t>
  </si>
  <si>
    <t>PD=需求与设计基线，COD=当前代码实现，UT=当前测试/验证证据。△ 不代表需求取消，而是表示仍有实现或接口级测试缺口。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</si>
</sst>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9">
    <font>
      <sz val="11"/>
      <color theme="1"/>
      <name val="宋体"/>
      <family val="2"/>
      <scheme val="minor"/>
    </font>
    <font>
      <sz val="10"/>
      <color rgb="FF333333"/>
      <name val="Microsoft YaHei"/>
      <family val="2"/>
    </font>
    <font>
      <b/>
      <sz val="10"/>
      <color rgb="FF1F4E78"/>
      <name val="Microsoft YaHei"/>
      <family val="2"/>
    </font>
    <font>
      <b/>
      <sz val="14"/>
      <color rgb="FF1F4E78"/>
      <name val="Microsoft YaHei"/>
      <family val="2"/>
    </font>
    <font>
      <sz val="9"/>
      <color rgb="FF333333"/>
      <name val="Microsoft YaHei"/>
      <family val="2"/>
    </font>
    <font>
      <b/>
      <sz val="15"/>
      <color rgb="FFFFFFFF"/>
      <name val="Microsoft YaHei"/>
      <family val="2"/>
    </font>
    <font>
      <sz val="9"/>
      <name val="宋体"/>
      <family val="3"/>
      <charset val="134"/>
      <scheme val="minor"/>
    </font>
    <font>
      <sz val="18"/>
      <color rgb="FF333333"/>
      <name val="黑体"/>
      <family val="3"/>
      <charset val="134"/>
    </font>
    <font>
      <sz val="18"/>
      <color rgb="FF333333"/>
      <name val="幼圆"/>
      <family val="3"/>
      <charset val="134"/>
    </font>
    <font>
      <b/>
      <sz val="36"/>
      <color rgb="FF1F4E78"/>
      <name val="楷体"/>
      <family val="3"/>
      <charset val="134"/>
    </font>
    <font>
      <sz val="18"/>
      <name val="黑体"/>
      <family val="3"/>
      <charset val="134"/>
    </font>
    <font>
      <sz val="12"/>
      <name val="幼圆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color rgb="FF333333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rgb="FF333333"/>
      <name val="Microsoft YaHei"/>
      <family val="2"/>
    </font>
    <font>
      <b/>
      <sz val="12"/>
      <color rgb="FF1F4E78"/>
      <name val="Microsoft YaHei"/>
      <family val="2"/>
      <charset val="134"/>
    </font>
    <font>
      <i/>
      <sz val="14"/>
      <color rgb="FF666666"/>
      <name val="Microsoft Ya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8" borderId="1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distributed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14" fontId="12" fillId="10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9" borderId="3" xfId="0" applyFont="1" applyFill="1" applyBorder="1" applyAlignment="1">
      <alignment vertical="top" wrapText="1"/>
    </xf>
    <xf numFmtId="0" fontId="0" fillId="0" borderId="4" xfId="0" applyBorder="1"/>
    <xf numFmtId="0" fontId="9" fillId="8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3" fillId="0" borderId="5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7" xfId="0" applyBorder="1"/>
    <xf numFmtId="0" fontId="14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21</xdr:col>
      <xdr:colOff>152400</xdr:colOff>
      <xdr:row>34</xdr:row>
      <xdr:rowOff>143503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0"/>
          <a:ext cx="12931140" cy="63614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23</xdr:col>
      <xdr:colOff>278731</xdr:colOff>
      <xdr:row>32</xdr:row>
      <xdr:rowOff>21771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4299531" cy="5943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17</xdr:col>
      <xdr:colOff>400051</xdr:colOff>
      <xdr:row>27</xdr:row>
      <xdr:rowOff>174435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763250" cy="53179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19</xdr:col>
      <xdr:colOff>434341</xdr:colOff>
      <xdr:row>33</xdr:row>
      <xdr:rowOff>37645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016740" cy="60726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7"/>
  <sheetViews>
    <sheetView showGridLines="0" tabSelected="1" workbookViewId="0">
      <selection activeCell="L26" sqref="L26"/>
    </sheetView>
  </sheetViews>
  <sheetFormatPr defaultRowHeight="25.05" customHeight="1"/>
  <cols>
    <col min="1" max="8" width="13.77734375" customWidth="1"/>
  </cols>
  <sheetData>
    <row r="3" spans="1:8" ht="25.05" customHeight="1">
      <c r="A3" s="6" t="s">
        <v>0</v>
      </c>
      <c r="B3" s="5" t="s">
        <v>1</v>
      </c>
    </row>
    <row r="4" spans="1:8" ht="25.05" customHeight="1">
      <c r="H4" s="7" t="s">
        <v>2</v>
      </c>
    </row>
    <row r="5" spans="1:8" ht="25.05" customHeight="1">
      <c r="A5" s="35" t="s">
        <v>3</v>
      </c>
      <c r="B5" s="33"/>
      <c r="G5" s="36" t="s">
        <v>4</v>
      </c>
      <c r="H5" s="37"/>
    </row>
    <row r="6" spans="1:8" ht="10.050000000000001" customHeight="1"/>
    <row r="7" spans="1:8" ht="10.050000000000001" customHeight="1"/>
    <row r="8" spans="1:8" ht="10.050000000000001" customHeight="1"/>
    <row r="9" spans="1:8" ht="10.050000000000001" customHeight="1"/>
    <row r="10" spans="1:8" ht="10.050000000000001" customHeight="1"/>
    <row r="11" spans="1:8" ht="10.050000000000001" customHeight="1"/>
    <row r="12" spans="1:8" ht="10.050000000000001" customHeight="1"/>
    <row r="13" spans="1:8" ht="49.8" customHeight="1">
      <c r="A13" s="38" t="s">
        <v>5</v>
      </c>
      <c r="B13" s="39"/>
      <c r="C13" s="39"/>
      <c r="D13" s="39"/>
      <c r="E13" s="39"/>
      <c r="F13" s="39"/>
      <c r="G13" s="39"/>
      <c r="H13" s="40"/>
    </row>
    <row r="14" spans="1:8" ht="9" customHeight="1"/>
    <row r="15" spans="1:8" ht="39" customHeight="1">
      <c r="A15" s="32" t="s">
        <v>6</v>
      </c>
      <c r="B15" s="33"/>
      <c r="C15" s="33"/>
      <c r="D15" s="33"/>
      <c r="E15" s="33"/>
      <c r="F15" s="33"/>
      <c r="G15" s="33"/>
      <c r="H15" s="33"/>
    </row>
    <row r="16" spans="1:8" ht="10.050000000000001" customHeight="1"/>
    <row r="17" spans="1:8" ht="10.050000000000001" customHeight="1"/>
    <row r="18" spans="1:8" ht="10.050000000000001" customHeight="1"/>
    <row r="19" spans="1:8" ht="10.050000000000001" customHeight="1"/>
    <row r="20" spans="1:8" ht="25.05" customHeight="1">
      <c r="A20" s="34" t="s">
        <v>7</v>
      </c>
      <c r="B20" s="33"/>
      <c r="C20" s="33"/>
      <c r="D20" s="33"/>
      <c r="E20" s="33"/>
      <c r="F20" s="33"/>
      <c r="G20" s="33"/>
      <c r="H20" s="33"/>
    </row>
    <row r="21" spans="1:8" ht="10.050000000000001" customHeight="1"/>
    <row r="22" spans="1:8" ht="10.050000000000001" customHeight="1">
      <c r="A22" s="13"/>
    </row>
    <row r="23" spans="1:8" ht="10.050000000000001" customHeight="1"/>
    <row r="24" spans="1:8" ht="10.050000000000001" customHeight="1">
      <c r="A24" s="13"/>
    </row>
    <row r="25" spans="1:8" ht="10.050000000000001" customHeight="1"/>
    <row r="26" spans="1:8" ht="10.050000000000001" customHeight="1">
      <c r="A26" s="13"/>
      <c r="E26" s="13"/>
    </row>
    <row r="27" spans="1:8" ht="10.050000000000001" customHeight="1"/>
    <row r="28" spans="1:8" ht="10.050000000000001" customHeight="1"/>
    <row r="29" spans="1:8" ht="10.050000000000001" customHeight="1"/>
    <row r="30" spans="1:8" ht="10.050000000000001" customHeight="1"/>
    <row r="31" spans="1:8" ht="10.050000000000001" customHeight="1"/>
    <row r="32" spans="1:8" ht="10.050000000000001" customHeight="1"/>
    <row r="33" spans="1:8" ht="10.050000000000001" customHeight="1"/>
    <row r="34" spans="1:8" ht="10.050000000000001" customHeight="1"/>
    <row r="35" spans="1:8" ht="10.050000000000001" customHeight="1"/>
    <row r="36" spans="1:8" ht="25.05" customHeight="1">
      <c r="A36" s="8" t="s">
        <v>8</v>
      </c>
      <c r="B36" s="9">
        <v>7</v>
      </c>
      <c r="C36" s="8" t="s">
        <v>9</v>
      </c>
      <c r="D36" s="9">
        <v>2</v>
      </c>
      <c r="E36" s="8" t="s">
        <v>10</v>
      </c>
      <c r="F36" s="10">
        <v>4</v>
      </c>
      <c r="G36" s="8" t="s">
        <v>11</v>
      </c>
      <c r="H36" s="11">
        <v>46269</v>
      </c>
    </row>
    <row r="37" spans="1:8" ht="25.05" customHeight="1">
      <c r="A37" s="12" t="s">
        <v>12</v>
      </c>
      <c r="B37" s="29" t="s">
        <v>13</v>
      </c>
      <c r="C37" s="30"/>
      <c r="D37" s="31"/>
      <c r="E37" s="12" t="s">
        <v>14</v>
      </c>
      <c r="F37" s="41" t="s">
        <v>13</v>
      </c>
      <c r="G37" s="30"/>
      <c r="H37" s="31"/>
    </row>
  </sheetData>
  <mergeCells count="7">
    <mergeCell ref="B37:D37"/>
    <mergeCell ref="A15:H15"/>
    <mergeCell ref="A20:H20"/>
    <mergeCell ref="A5:B5"/>
    <mergeCell ref="G5:H5"/>
    <mergeCell ref="A13:H13"/>
    <mergeCell ref="F37:H3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5"/>
  <sheetViews>
    <sheetView showGridLines="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P24" sqref="P24"/>
    </sheetView>
  </sheetViews>
  <sheetFormatPr defaultRowHeight="14.4"/>
  <cols>
    <col min="1" max="1" width="2.6640625" customWidth="1"/>
    <col min="2" max="2" width="7.6640625" customWidth="1"/>
    <col min="3" max="3" width="12.6640625" customWidth="1"/>
    <col min="4" max="4" width="66.6640625" customWidth="1"/>
    <col min="5" max="5" width="30.6640625" customWidth="1"/>
    <col min="6" max="7" width="12.6640625" customWidth="1"/>
    <col min="8" max="12" width="10.6640625" customWidth="1"/>
    <col min="13" max="14" width="12.6640625" customWidth="1"/>
    <col min="15" max="16" width="14.6640625" customWidth="1"/>
  </cols>
  <sheetData>
    <row r="1" spans="2:16" ht="21" customHeight="1">
      <c r="B1" s="43" t="s">
        <v>15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2:16" ht="31.2" customHeight="1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spans="2:16" ht="54" customHeight="1">
      <c r="B3" s="2">
        <v>1</v>
      </c>
      <c r="C3" s="26">
        <v>46267</v>
      </c>
      <c r="D3" s="25" t="s">
        <v>31</v>
      </c>
      <c r="E3" s="2" t="s">
        <v>32</v>
      </c>
      <c r="F3" s="2" t="s">
        <v>33</v>
      </c>
      <c r="G3" s="2" t="s">
        <v>34</v>
      </c>
      <c r="H3" s="2">
        <v>0</v>
      </c>
      <c r="I3" s="2">
        <v>25</v>
      </c>
      <c r="J3" s="2">
        <v>0</v>
      </c>
      <c r="K3" s="2">
        <v>0</v>
      </c>
      <c r="L3" s="2">
        <v>25</v>
      </c>
      <c r="M3" s="3">
        <v>0</v>
      </c>
      <c r="N3" s="2" t="s">
        <v>35</v>
      </c>
      <c r="O3" s="2" t="s">
        <v>35</v>
      </c>
      <c r="P3" s="2" t="s">
        <v>36</v>
      </c>
    </row>
    <row r="4" spans="2:16" ht="54" customHeight="1">
      <c r="B4" s="2">
        <v>2</v>
      </c>
      <c r="C4" s="26">
        <v>46267</v>
      </c>
      <c r="D4" s="25" t="s">
        <v>37</v>
      </c>
      <c r="E4" s="2" t="s">
        <v>32</v>
      </c>
      <c r="F4" s="2" t="s">
        <v>33</v>
      </c>
      <c r="G4" s="2" t="s">
        <v>34</v>
      </c>
      <c r="H4" s="2">
        <v>25</v>
      </c>
      <c r="I4" s="2">
        <v>0</v>
      </c>
      <c r="J4" s="2">
        <v>0</v>
      </c>
      <c r="K4" s="2">
        <v>0</v>
      </c>
      <c r="L4" s="2">
        <v>25</v>
      </c>
      <c r="M4" s="3">
        <v>0</v>
      </c>
      <c r="N4" s="2" t="s">
        <v>35</v>
      </c>
      <c r="O4" s="2" t="s">
        <v>35</v>
      </c>
      <c r="P4" s="2" t="s">
        <v>36</v>
      </c>
    </row>
    <row r="5" spans="2:16" ht="54" customHeight="1">
      <c r="B5" s="2">
        <v>3</v>
      </c>
      <c r="C5" s="26">
        <v>46267</v>
      </c>
      <c r="D5" s="25" t="s">
        <v>38</v>
      </c>
      <c r="E5" s="2" t="s">
        <v>32</v>
      </c>
      <c r="F5" s="2" t="s">
        <v>39</v>
      </c>
      <c r="G5" s="2" t="s">
        <v>34</v>
      </c>
      <c r="H5" s="2">
        <v>25</v>
      </c>
      <c r="I5" s="2">
        <v>0</v>
      </c>
      <c r="J5" s="2">
        <v>0</v>
      </c>
      <c r="K5" s="2">
        <v>0</v>
      </c>
      <c r="L5" s="2">
        <v>25</v>
      </c>
      <c r="M5" s="3">
        <v>0</v>
      </c>
      <c r="N5" s="2" t="s">
        <v>35</v>
      </c>
      <c r="O5" s="2" t="s">
        <v>35</v>
      </c>
      <c r="P5" s="2" t="s">
        <v>36</v>
      </c>
    </row>
    <row r="6" spans="2:16" ht="54" customHeight="1">
      <c r="B6" s="2">
        <v>4</v>
      </c>
      <c r="C6" s="26">
        <v>46267</v>
      </c>
      <c r="D6" s="25" t="s">
        <v>40</v>
      </c>
      <c r="E6" s="2" t="s">
        <v>41</v>
      </c>
      <c r="F6" s="2" t="s">
        <v>39</v>
      </c>
      <c r="G6" s="2" t="s">
        <v>34</v>
      </c>
      <c r="H6" s="2">
        <v>25</v>
      </c>
      <c r="I6" s="2">
        <v>0</v>
      </c>
      <c r="J6" s="2">
        <v>0</v>
      </c>
      <c r="K6" s="2">
        <v>0</v>
      </c>
      <c r="L6" s="2">
        <v>25</v>
      </c>
      <c r="M6" s="3">
        <v>0</v>
      </c>
      <c r="N6" s="2" t="s">
        <v>35</v>
      </c>
      <c r="O6" s="2" t="s">
        <v>35</v>
      </c>
      <c r="P6" s="2" t="s">
        <v>36</v>
      </c>
    </row>
    <row r="7" spans="2:16" ht="54" customHeight="1">
      <c r="B7" s="2">
        <v>5</v>
      </c>
      <c r="C7" s="26">
        <v>46267</v>
      </c>
      <c r="D7" s="25" t="s">
        <v>42</v>
      </c>
      <c r="E7" s="2" t="s">
        <v>43</v>
      </c>
      <c r="F7" s="2" t="s">
        <v>39</v>
      </c>
      <c r="G7" s="2" t="s">
        <v>34</v>
      </c>
      <c r="H7" s="2">
        <v>25</v>
      </c>
      <c r="I7" s="2">
        <v>0</v>
      </c>
      <c r="J7" s="2">
        <v>0</v>
      </c>
      <c r="K7" s="2">
        <v>0</v>
      </c>
      <c r="L7" s="2">
        <v>25</v>
      </c>
      <c r="M7" s="3">
        <v>0</v>
      </c>
      <c r="N7" s="2" t="s">
        <v>35</v>
      </c>
      <c r="O7" s="2" t="s">
        <v>35</v>
      </c>
      <c r="P7" s="2" t="s">
        <v>36</v>
      </c>
    </row>
    <row r="8" spans="2:16" ht="54" customHeight="1">
      <c r="B8" s="2">
        <v>6</v>
      </c>
      <c r="C8" s="26">
        <v>46267</v>
      </c>
      <c r="D8" s="25" t="s">
        <v>44</v>
      </c>
      <c r="E8" s="2" t="s">
        <v>45</v>
      </c>
      <c r="F8" s="2" t="s">
        <v>46</v>
      </c>
      <c r="G8" s="2" t="s">
        <v>34</v>
      </c>
      <c r="H8" s="2">
        <v>25</v>
      </c>
      <c r="I8" s="2">
        <v>0</v>
      </c>
      <c r="J8" s="2">
        <v>0</v>
      </c>
      <c r="K8" s="2">
        <v>1</v>
      </c>
      <c r="L8" s="2">
        <v>25</v>
      </c>
      <c r="M8" s="3">
        <v>0.04</v>
      </c>
      <c r="N8" s="2" t="s">
        <v>47</v>
      </c>
      <c r="O8" s="2" t="s">
        <v>36</v>
      </c>
      <c r="P8" s="2" t="s">
        <v>47</v>
      </c>
    </row>
    <row r="9" spans="2:16" ht="54" customHeight="1">
      <c r="B9" s="2">
        <v>7</v>
      </c>
      <c r="C9" s="26">
        <v>46268</v>
      </c>
      <c r="D9" s="25" t="s">
        <v>48</v>
      </c>
      <c r="E9" s="2" t="s">
        <v>49</v>
      </c>
      <c r="F9" s="2" t="s">
        <v>46</v>
      </c>
      <c r="G9" s="2" t="s">
        <v>34</v>
      </c>
      <c r="H9" s="2">
        <v>25</v>
      </c>
      <c r="I9" s="2">
        <v>0</v>
      </c>
      <c r="J9" s="2">
        <v>0</v>
      </c>
      <c r="K9" s="2">
        <v>7</v>
      </c>
      <c r="L9" s="2">
        <v>25</v>
      </c>
      <c r="M9" s="3">
        <v>0.28000000000000003</v>
      </c>
      <c r="N9" s="2" t="s">
        <v>35</v>
      </c>
      <c r="O9" s="2" t="s">
        <v>35</v>
      </c>
      <c r="P9" s="2" t="s">
        <v>36</v>
      </c>
    </row>
    <row r="10" spans="2:16" ht="54" customHeight="1">
      <c r="B10" s="2">
        <v>8</v>
      </c>
      <c r="C10" s="26">
        <v>46268</v>
      </c>
      <c r="D10" s="25" t="s">
        <v>50</v>
      </c>
      <c r="E10" s="2" t="s">
        <v>45</v>
      </c>
      <c r="F10" s="2" t="s">
        <v>46</v>
      </c>
      <c r="G10" s="2" t="s">
        <v>13</v>
      </c>
      <c r="H10" s="2">
        <v>25</v>
      </c>
      <c r="I10" s="2">
        <v>0</v>
      </c>
      <c r="J10" s="2">
        <v>0</v>
      </c>
      <c r="K10" s="2">
        <v>1</v>
      </c>
      <c r="L10" s="2">
        <v>25</v>
      </c>
      <c r="M10" s="3">
        <v>0.04</v>
      </c>
      <c r="N10" s="2" t="s">
        <v>47</v>
      </c>
      <c r="O10" s="2" t="s">
        <v>47</v>
      </c>
      <c r="P10" s="2" t="s">
        <v>47</v>
      </c>
    </row>
    <row r="11" spans="2:16" ht="54" customHeight="1">
      <c r="B11" s="2">
        <v>9</v>
      </c>
      <c r="C11" s="26">
        <v>46268</v>
      </c>
      <c r="D11" s="25" t="s">
        <v>51</v>
      </c>
      <c r="E11" s="2" t="s">
        <v>52</v>
      </c>
      <c r="F11" s="2" t="s">
        <v>39</v>
      </c>
      <c r="G11" s="2" t="s">
        <v>34</v>
      </c>
      <c r="H11" s="2">
        <v>25</v>
      </c>
      <c r="I11" s="2">
        <v>0</v>
      </c>
      <c r="J11" s="2">
        <v>0</v>
      </c>
      <c r="K11" s="2">
        <v>7</v>
      </c>
      <c r="L11" s="2">
        <v>25</v>
      </c>
      <c r="M11" s="3">
        <v>0.28000000000000003</v>
      </c>
      <c r="N11" s="2" t="s">
        <v>36</v>
      </c>
      <c r="O11" s="2" t="s">
        <v>36</v>
      </c>
      <c r="P11" s="2" t="s">
        <v>36</v>
      </c>
    </row>
    <row r="12" spans="2:16" ht="54" customHeight="1">
      <c r="B12" s="2">
        <v>10</v>
      </c>
      <c r="C12" s="26">
        <v>46268</v>
      </c>
      <c r="D12" s="25" t="s">
        <v>53</v>
      </c>
      <c r="E12" s="2" t="s">
        <v>45</v>
      </c>
      <c r="F12" s="2" t="s">
        <v>39</v>
      </c>
      <c r="G12" s="2" t="s">
        <v>54</v>
      </c>
      <c r="H12" s="2">
        <v>25</v>
      </c>
      <c r="I12" s="2">
        <v>0</v>
      </c>
      <c r="J12" s="2">
        <v>0</v>
      </c>
      <c r="K12" s="2">
        <v>1</v>
      </c>
      <c r="L12" s="2">
        <v>25</v>
      </c>
      <c r="M12" s="3">
        <v>0.04</v>
      </c>
      <c r="N12" s="2" t="s">
        <v>47</v>
      </c>
      <c r="O12" s="2" t="s">
        <v>47</v>
      </c>
      <c r="P12" s="2" t="s">
        <v>47</v>
      </c>
    </row>
    <row r="13" spans="2:16" ht="54" customHeight="1">
      <c r="B13" s="2">
        <v>11</v>
      </c>
      <c r="C13" s="26">
        <v>46268</v>
      </c>
      <c r="D13" s="25" t="s">
        <v>55</v>
      </c>
      <c r="E13" s="2" t="s">
        <v>56</v>
      </c>
      <c r="F13" s="2" t="s">
        <v>39</v>
      </c>
      <c r="G13" s="2" t="s">
        <v>34</v>
      </c>
      <c r="H13" s="2">
        <v>25</v>
      </c>
      <c r="I13" s="2">
        <v>0</v>
      </c>
      <c r="J13" s="2">
        <v>0</v>
      </c>
      <c r="K13" s="2">
        <v>4</v>
      </c>
      <c r="L13" s="2">
        <v>25</v>
      </c>
      <c r="M13" s="3">
        <v>0.16</v>
      </c>
      <c r="N13" s="2" t="s">
        <v>36</v>
      </c>
      <c r="O13" s="2" t="s">
        <v>36</v>
      </c>
      <c r="P13" s="2" t="s">
        <v>36</v>
      </c>
    </row>
    <row r="14" spans="2:16" ht="54" customHeight="1">
      <c r="B14" s="2">
        <v>12</v>
      </c>
      <c r="C14" s="26">
        <v>46268</v>
      </c>
      <c r="D14" s="25" t="s">
        <v>57</v>
      </c>
      <c r="E14" s="2" t="s">
        <v>58</v>
      </c>
      <c r="F14" s="2" t="s">
        <v>33</v>
      </c>
      <c r="G14" s="2" t="s">
        <v>59</v>
      </c>
      <c r="H14" s="2">
        <v>25</v>
      </c>
      <c r="I14" s="2">
        <v>0</v>
      </c>
      <c r="J14" s="2">
        <v>0</v>
      </c>
      <c r="K14" s="2">
        <v>5</v>
      </c>
      <c r="L14" s="2">
        <v>25</v>
      </c>
      <c r="M14" s="3">
        <v>0.2</v>
      </c>
      <c r="N14" s="2" t="s">
        <v>36</v>
      </c>
      <c r="O14" s="2" t="s">
        <v>36</v>
      </c>
      <c r="P14" s="2" t="s">
        <v>36</v>
      </c>
    </row>
    <row r="15" spans="2:16" ht="54" customHeight="1">
      <c r="B15" s="2">
        <v>13</v>
      </c>
      <c r="C15" s="26">
        <v>46268</v>
      </c>
      <c r="D15" s="25" t="s">
        <v>60</v>
      </c>
      <c r="E15" s="2" t="s">
        <v>45</v>
      </c>
      <c r="F15" s="2" t="s">
        <v>39</v>
      </c>
      <c r="G15" s="2" t="s">
        <v>61</v>
      </c>
      <c r="H15" s="2">
        <v>25</v>
      </c>
      <c r="I15" s="2">
        <v>0</v>
      </c>
      <c r="J15" s="2">
        <v>0</v>
      </c>
      <c r="K15" s="2">
        <v>1</v>
      </c>
      <c r="L15" s="2">
        <v>25</v>
      </c>
      <c r="M15" s="3">
        <v>0.04</v>
      </c>
      <c r="N15" s="2" t="s">
        <v>47</v>
      </c>
      <c r="O15" s="2" t="s">
        <v>36</v>
      </c>
      <c r="P15" s="2" t="s">
        <v>47</v>
      </c>
    </row>
    <row r="16" spans="2:16" ht="54" customHeight="1">
      <c r="B16" s="2">
        <v>14</v>
      </c>
      <c r="C16" s="26">
        <v>46268</v>
      </c>
      <c r="D16" s="25" t="s">
        <v>62</v>
      </c>
      <c r="E16" s="2" t="s">
        <v>63</v>
      </c>
      <c r="F16" s="2" t="s">
        <v>64</v>
      </c>
      <c r="G16" s="2" t="s">
        <v>65</v>
      </c>
      <c r="H16" s="2">
        <v>25</v>
      </c>
      <c r="I16" s="2">
        <v>0</v>
      </c>
      <c r="J16" s="2">
        <v>0</v>
      </c>
      <c r="K16" s="2">
        <v>9</v>
      </c>
      <c r="L16" s="2">
        <v>25</v>
      </c>
      <c r="M16" s="3">
        <v>0.36</v>
      </c>
      <c r="N16" s="2" t="s">
        <v>36</v>
      </c>
      <c r="O16" s="2" t="s">
        <v>36</v>
      </c>
      <c r="P16" s="2" t="s">
        <v>47</v>
      </c>
    </row>
    <row r="17" spans="2:16" ht="54" customHeight="1">
      <c r="B17" s="2">
        <v>15</v>
      </c>
      <c r="C17" s="26">
        <v>46268</v>
      </c>
      <c r="D17" s="25" t="s">
        <v>66</v>
      </c>
      <c r="E17" s="2" t="s">
        <v>67</v>
      </c>
      <c r="F17" s="2" t="s">
        <v>64</v>
      </c>
      <c r="G17" s="2" t="s">
        <v>13</v>
      </c>
      <c r="H17" s="2">
        <v>25</v>
      </c>
      <c r="I17" s="2">
        <v>0</v>
      </c>
      <c r="J17" s="2">
        <v>0</v>
      </c>
      <c r="K17" s="2">
        <v>2</v>
      </c>
      <c r="L17" s="2">
        <v>25</v>
      </c>
      <c r="M17" s="3">
        <v>0.08</v>
      </c>
      <c r="N17" s="2" t="s">
        <v>36</v>
      </c>
      <c r="O17" s="2" t="s">
        <v>36</v>
      </c>
      <c r="P17" s="2" t="s">
        <v>47</v>
      </c>
    </row>
    <row r="18" spans="2:16" ht="54" customHeight="1">
      <c r="B18" s="2">
        <v>16</v>
      </c>
      <c r="C18" s="26">
        <v>46268</v>
      </c>
      <c r="D18" s="25" t="s">
        <v>68</v>
      </c>
      <c r="E18" s="2" t="s">
        <v>69</v>
      </c>
      <c r="F18" s="2" t="s">
        <v>64</v>
      </c>
      <c r="G18" s="2" t="s">
        <v>13</v>
      </c>
      <c r="H18" s="2">
        <v>25</v>
      </c>
      <c r="I18" s="2">
        <v>0</v>
      </c>
      <c r="J18" s="2">
        <v>0</v>
      </c>
      <c r="K18" s="2">
        <v>6</v>
      </c>
      <c r="L18" s="2">
        <v>25</v>
      </c>
      <c r="M18" s="3">
        <v>0.24</v>
      </c>
      <c r="N18" s="2" t="s">
        <v>36</v>
      </c>
      <c r="O18" s="2" t="s">
        <v>36</v>
      </c>
      <c r="P18" s="2" t="s">
        <v>36</v>
      </c>
    </row>
    <row r="19" spans="2:16" ht="54" customHeight="1">
      <c r="B19" s="2">
        <v>17</v>
      </c>
      <c r="C19" s="26">
        <v>46268</v>
      </c>
      <c r="D19" s="25" t="s">
        <v>70</v>
      </c>
      <c r="E19" s="2" t="s">
        <v>71</v>
      </c>
      <c r="F19" s="2" t="s">
        <v>64</v>
      </c>
      <c r="G19" s="2" t="s">
        <v>13</v>
      </c>
      <c r="H19" s="2">
        <v>25</v>
      </c>
      <c r="I19" s="2">
        <v>0</v>
      </c>
      <c r="J19" s="2">
        <v>0</v>
      </c>
      <c r="K19" s="2">
        <v>5</v>
      </c>
      <c r="L19" s="2">
        <v>25</v>
      </c>
      <c r="M19" s="3">
        <v>0.2</v>
      </c>
      <c r="N19" s="2" t="s">
        <v>36</v>
      </c>
      <c r="O19" s="2" t="s">
        <v>36</v>
      </c>
      <c r="P19" s="2" t="s">
        <v>36</v>
      </c>
    </row>
    <row r="20" spans="2:16" ht="54" customHeight="1">
      <c r="B20" s="2">
        <v>18</v>
      </c>
      <c r="C20" s="26">
        <v>46268</v>
      </c>
      <c r="D20" s="25" t="s">
        <v>72</v>
      </c>
      <c r="E20" s="2" t="s">
        <v>73</v>
      </c>
      <c r="F20" s="2" t="s">
        <v>64</v>
      </c>
      <c r="G20" s="2" t="s">
        <v>13</v>
      </c>
      <c r="H20" s="2">
        <v>25</v>
      </c>
      <c r="I20" s="2">
        <v>0</v>
      </c>
      <c r="J20" s="2">
        <v>0</v>
      </c>
      <c r="K20" s="2">
        <v>5</v>
      </c>
      <c r="L20" s="2">
        <v>25</v>
      </c>
      <c r="M20" s="3">
        <v>0.2</v>
      </c>
      <c r="N20" s="2" t="s">
        <v>35</v>
      </c>
      <c r="O20" s="2" t="s">
        <v>35</v>
      </c>
      <c r="P20" s="2" t="s">
        <v>36</v>
      </c>
    </row>
    <row r="21" spans="2:16" ht="54" customHeight="1">
      <c r="B21" s="2">
        <v>19</v>
      </c>
      <c r="C21" s="26">
        <v>46268</v>
      </c>
      <c r="D21" s="25" t="s">
        <v>74</v>
      </c>
      <c r="E21" s="2" t="s">
        <v>75</v>
      </c>
      <c r="F21" s="2" t="s">
        <v>76</v>
      </c>
      <c r="G21" s="2" t="s">
        <v>13</v>
      </c>
      <c r="H21" s="2">
        <v>25</v>
      </c>
      <c r="I21" s="2">
        <v>0</v>
      </c>
      <c r="J21" s="2">
        <v>0</v>
      </c>
      <c r="K21" s="2">
        <v>4</v>
      </c>
      <c r="L21" s="2">
        <v>25</v>
      </c>
      <c r="M21" s="3">
        <v>0.16</v>
      </c>
      <c r="N21" s="2" t="s">
        <v>35</v>
      </c>
      <c r="O21" s="2" t="s">
        <v>36</v>
      </c>
      <c r="P21" s="2" t="s">
        <v>36</v>
      </c>
    </row>
    <row r="22" spans="2:16" ht="54" customHeight="1">
      <c r="B22" s="2">
        <v>20</v>
      </c>
      <c r="C22" s="26">
        <v>46269</v>
      </c>
      <c r="D22" s="25" t="s">
        <v>77</v>
      </c>
      <c r="E22" s="2" t="s">
        <v>45</v>
      </c>
      <c r="F22" s="2" t="s">
        <v>39</v>
      </c>
      <c r="G22" s="2" t="s">
        <v>13</v>
      </c>
      <c r="H22" s="2">
        <v>25</v>
      </c>
      <c r="I22" s="2">
        <v>0</v>
      </c>
      <c r="J22" s="2">
        <v>0</v>
      </c>
      <c r="K22" s="2">
        <v>1</v>
      </c>
      <c r="L22" s="2">
        <v>25</v>
      </c>
      <c r="M22" s="3">
        <v>0.04</v>
      </c>
      <c r="N22" s="2" t="s">
        <v>47</v>
      </c>
      <c r="O22" s="2" t="s">
        <v>47</v>
      </c>
      <c r="P22" s="2" t="s">
        <v>47</v>
      </c>
    </row>
    <row r="23" spans="2:16" ht="95.4" customHeight="1">
      <c r="B23" s="2">
        <v>21</v>
      </c>
      <c r="C23" s="26">
        <v>46271</v>
      </c>
      <c r="D23" s="25" t="s">
        <v>78</v>
      </c>
      <c r="E23" s="2" t="s">
        <v>79</v>
      </c>
      <c r="F23" s="2" t="s">
        <v>64</v>
      </c>
      <c r="G23" s="2" t="s">
        <v>34</v>
      </c>
      <c r="H23" s="2">
        <v>25</v>
      </c>
      <c r="I23" s="2">
        <v>0</v>
      </c>
      <c r="J23" s="2">
        <v>0</v>
      </c>
      <c r="K23" s="2">
        <v>15</v>
      </c>
      <c r="L23" s="2">
        <v>25</v>
      </c>
      <c r="M23" s="3">
        <v>0.6</v>
      </c>
      <c r="N23" s="2" t="s">
        <v>36</v>
      </c>
      <c r="O23" s="2" t="s">
        <v>36</v>
      </c>
      <c r="P23" s="2" t="s">
        <v>47</v>
      </c>
    </row>
    <row r="24" spans="2:16" ht="72" customHeight="1">
      <c r="B24" s="2">
        <v>22</v>
      </c>
      <c r="C24" s="26">
        <v>46271</v>
      </c>
      <c r="D24" s="25" t="s">
        <v>80</v>
      </c>
      <c r="E24" s="2" t="s">
        <v>45</v>
      </c>
      <c r="F24" s="2" t="s">
        <v>64</v>
      </c>
      <c r="G24" s="2" t="s">
        <v>34</v>
      </c>
      <c r="H24" s="2">
        <v>25</v>
      </c>
      <c r="I24" s="2">
        <v>0</v>
      </c>
      <c r="J24" s="2">
        <v>0</v>
      </c>
      <c r="K24" s="2">
        <v>1</v>
      </c>
      <c r="L24" s="2">
        <v>25</v>
      </c>
      <c r="M24" s="3">
        <v>0.04</v>
      </c>
      <c r="N24" s="2" t="s">
        <v>47</v>
      </c>
      <c r="O24" s="2" t="s">
        <v>47</v>
      </c>
      <c r="P24" s="2" t="s">
        <v>47</v>
      </c>
    </row>
    <row r="25" spans="2:16" ht="37.950000000000003" customHeight="1">
      <c r="B25" s="44" t="s">
        <v>81</v>
      </c>
      <c r="C25" s="37"/>
      <c r="D25" s="37"/>
      <c r="E25" s="37"/>
      <c r="F25" s="37"/>
      <c r="G25" s="20"/>
      <c r="H25" s="20"/>
      <c r="I25" s="20"/>
      <c r="J25" s="20"/>
      <c r="K25" s="20"/>
      <c r="L25" s="27">
        <v>25</v>
      </c>
      <c r="M25" s="28">
        <f>SUM(M3:M24)</f>
        <v>3.0000000000000004</v>
      </c>
      <c r="N25" s="42" t="s">
        <v>82</v>
      </c>
      <c r="O25" s="39"/>
      <c r="P25" s="40"/>
    </row>
  </sheetData>
  <autoFilter ref="B2:P22" xr:uid="{00000000-0009-0000-0000-000001000000}"/>
  <mergeCells count="3">
    <mergeCell ref="N25:P25"/>
    <mergeCell ref="B1:P1"/>
    <mergeCell ref="B25:F25"/>
  </mergeCells>
  <phoneticPr fontId="6" type="noConversion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33"/>
  <sheetViews>
    <sheetView showGridLines="0" workbookViewId="0">
      <pane xSplit="5" ySplit="4" topLeftCell="F29" activePane="bottomRight" state="frozen"/>
      <selection pane="topRight" activeCell="F1" sqref="F1"/>
      <selection pane="bottomLeft" activeCell="A6" sqref="A6"/>
      <selection pane="bottomRight" activeCell="F5" sqref="F5"/>
    </sheetView>
  </sheetViews>
  <sheetFormatPr defaultRowHeight="14.4"/>
  <cols>
    <col min="1" max="1" width="2.6640625" customWidth="1"/>
    <col min="2" max="2" width="13.6640625" customWidth="1"/>
    <col min="3" max="3" width="15.6640625" customWidth="1"/>
    <col min="4" max="4" width="18.6640625" customWidth="1"/>
    <col min="5" max="5" width="24.6640625" customWidth="1"/>
    <col min="6" max="6" width="72.6640625" customWidth="1"/>
    <col min="7" max="9" width="8.6640625" customWidth="1"/>
    <col min="10" max="10" width="20.6640625" customWidth="1"/>
    <col min="11" max="11" width="14.6640625" customWidth="1"/>
  </cols>
  <sheetData>
    <row r="1" spans="2:11" ht="21" customHeight="1">
      <c r="B1" s="43" t="s">
        <v>83</v>
      </c>
      <c r="C1" s="33"/>
      <c r="D1" s="33"/>
      <c r="E1" s="33"/>
      <c r="F1" s="33"/>
      <c r="G1" s="33"/>
      <c r="H1" s="33"/>
      <c r="I1" s="33"/>
      <c r="J1" s="33"/>
      <c r="K1" s="33"/>
    </row>
    <row r="2" spans="2:11" ht="20.399999999999999" customHeight="1">
      <c r="B2" s="21" t="s">
        <v>84</v>
      </c>
      <c r="C2" s="47" t="s">
        <v>5</v>
      </c>
      <c r="D2" s="40"/>
      <c r="E2" s="22" t="s">
        <v>85</v>
      </c>
      <c r="F2" s="45" t="s">
        <v>86</v>
      </c>
      <c r="G2" s="46"/>
      <c r="H2" s="24"/>
      <c r="I2" s="24"/>
      <c r="J2" s="23"/>
      <c r="K2" s="20"/>
    </row>
    <row r="3" spans="2:11" ht="15.6" customHeight="1"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</row>
    <row r="4" spans="2:11" ht="15.6" customHeight="1">
      <c r="B4" s="20"/>
      <c r="C4" s="1" t="s">
        <v>97</v>
      </c>
      <c r="D4" s="1" t="s">
        <v>98</v>
      </c>
      <c r="E4" s="1" t="s">
        <v>99</v>
      </c>
      <c r="F4" s="20"/>
      <c r="G4" s="14"/>
      <c r="H4" s="14"/>
      <c r="I4" s="14"/>
      <c r="J4" s="20"/>
      <c r="K4" s="20"/>
    </row>
    <row r="5" spans="2:11" ht="84" customHeight="1">
      <c r="B5" s="4" t="s">
        <v>100</v>
      </c>
      <c r="C5" s="18" t="s">
        <v>101</v>
      </c>
      <c r="D5" s="18" t="s">
        <v>102</v>
      </c>
      <c r="E5" s="18" t="s">
        <v>103</v>
      </c>
      <c r="F5" s="19" t="s">
        <v>104</v>
      </c>
      <c r="G5" s="15" t="s">
        <v>105</v>
      </c>
      <c r="H5" s="16" t="s">
        <v>106</v>
      </c>
      <c r="I5" s="16" t="s">
        <v>106</v>
      </c>
      <c r="J5" s="18" t="s">
        <v>13</v>
      </c>
      <c r="K5" s="18" t="s">
        <v>13</v>
      </c>
    </row>
    <row r="6" spans="2:11" ht="84" customHeight="1">
      <c r="B6" s="4" t="s">
        <v>107</v>
      </c>
      <c r="C6" s="18" t="s">
        <v>101</v>
      </c>
      <c r="D6" s="18" t="s">
        <v>108</v>
      </c>
      <c r="E6" s="18" t="s">
        <v>109</v>
      </c>
      <c r="F6" s="19" t="s">
        <v>110</v>
      </c>
      <c r="G6" s="15" t="s">
        <v>105</v>
      </c>
      <c r="H6" s="15" t="s">
        <v>105</v>
      </c>
      <c r="I6" s="16" t="s">
        <v>106</v>
      </c>
      <c r="J6" s="18" t="s">
        <v>13</v>
      </c>
      <c r="K6" s="18" t="s">
        <v>13</v>
      </c>
    </row>
    <row r="7" spans="2:11" ht="84" customHeight="1">
      <c r="B7" s="4" t="s">
        <v>111</v>
      </c>
      <c r="C7" s="18" t="s">
        <v>101</v>
      </c>
      <c r="D7" s="18" t="s">
        <v>112</v>
      </c>
      <c r="E7" s="18" t="s">
        <v>113</v>
      </c>
      <c r="F7" s="19" t="s">
        <v>114</v>
      </c>
      <c r="G7" s="15" t="s">
        <v>105</v>
      </c>
      <c r="H7" s="15" t="s">
        <v>105</v>
      </c>
      <c r="I7" s="16" t="s">
        <v>106</v>
      </c>
      <c r="J7" s="18" t="s">
        <v>13</v>
      </c>
      <c r="K7" s="18" t="s">
        <v>13</v>
      </c>
    </row>
    <row r="8" spans="2:11" ht="84" customHeight="1">
      <c r="B8" s="4" t="s">
        <v>115</v>
      </c>
      <c r="C8" s="18" t="s">
        <v>116</v>
      </c>
      <c r="D8" s="18" t="s">
        <v>117</v>
      </c>
      <c r="E8" s="18" t="s">
        <v>118</v>
      </c>
      <c r="F8" s="19" t="s">
        <v>119</v>
      </c>
      <c r="G8" s="15" t="s">
        <v>105</v>
      </c>
      <c r="H8" s="15" t="s">
        <v>105</v>
      </c>
      <c r="I8" s="16" t="s">
        <v>106</v>
      </c>
      <c r="J8" s="18" t="s">
        <v>13</v>
      </c>
      <c r="K8" s="18" t="s">
        <v>13</v>
      </c>
    </row>
    <row r="9" spans="2:11" ht="64.95" customHeight="1">
      <c r="B9" s="4" t="s">
        <v>120</v>
      </c>
      <c r="C9" s="18" t="s">
        <v>116</v>
      </c>
      <c r="D9" s="18" t="s">
        <v>121</v>
      </c>
      <c r="E9" s="18" t="s">
        <v>122</v>
      </c>
      <c r="F9" s="19" t="s">
        <v>123</v>
      </c>
      <c r="G9" s="15" t="s">
        <v>105</v>
      </c>
      <c r="H9" s="15" t="s">
        <v>105</v>
      </c>
      <c r="I9" s="16" t="s">
        <v>106</v>
      </c>
      <c r="J9" s="18" t="s">
        <v>59</v>
      </c>
      <c r="K9" s="18" t="s">
        <v>13</v>
      </c>
    </row>
    <row r="10" spans="2:11" ht="64.95" customHeight="1">
      <c r="B10" s="4" t="s">
        <v>124</v>
      </c>
      <c r="C10" s="18" t="s">
        <v>116</v>
      </c>
      <c r="D10" s="18" t="s">
        <v>125</v>
      </c>
      <c r="E10" s="18" t="s">
        <v>126</v>
      </c>
      <c r="F10" s="19" t="s">
        <v>127</v>
      </c>
      <c r="G10" s="15" t="s">
        <v>105</v>
      </c>
      <c r="H10" s="15" t="s">
        <v>105</v>
      </c>
      <c r="I10" s="16" t="s">
        <v>106</v>
      </c>
      <c r="J10" s="18" t="s">
        <v>61</v>
      </c>
      <c r="K10" s="18" t="s">
        <v>13</v>
      </c>
    </row>
    <row r="11" spans="2:11" ht="64.95" customHeight="1">
      <c r="B11" s="4" t="s">
        <v>128</v>
      </c>
      <c r="C11" s="18" t="s">
        <v>129</v>
      </c>
      <c r="D11" s="18" t="s">
        <v>130</v>
      </c>
      <c r="E11" s="18" t="s">
        <v>131</v>
      </c>
      <c r="F11" s="19" t="s">
        <v>132</v>
      </c>
      <c r="G11" s="15" t="s">
        <v>105</v>
      </c>
      <c r="H11" s="15" t="s">
        <v>105</v>
      </c>
      <c r="I11" s="16" t="s">
        <v>106</v>
      </c>
      <c r="J11" s="18" t="s">
        <v>65</v>
      </c>
      <c r="K11" s="18" t="s">
        <v>13</v>
      </c>
    </row>
    <row r="12" spans="2:11" ht="64.95" customHeight="1">
      <c r="B12" s="4" t="s">
        <v>133</v>
      </c>
      <c r="C12" s="18" t="s">
        <v>129</v>
      </c>
      <c r="D12" s="18" t="s">
        <v>134</v>
      </c>
      <c r="E12" s="18" t="s">
        <v>135</v>
      </c>
      <c r="F12" s="19" t="s">
        <v>136</v>
      </c>
      <c r="G12" s="15" t="s">
        <v>105</v>
      </c>
      <c r="H12" s="15" t="s">
        <v>105</v>
      </c>
      <c r="I12" s="16" t="s">
        <v>106</v>
      </c>
      <c r="J12" s="18" t="s">
        <v>54</v>
      </c>
      <c r="K12" s="18" t="s">
        <v>13</v>
      </c>
    </row>
    <row r="13" spans="2:11" ht="84" customHeight="1">
      <c r="B13" s="4" t="s">
        <v>137</v>
      </c>
      <c r="C13" s="18" t="s">
        <v>138</v>
      </c>
      <c r="D13" s="18" t="s">
        <v>139</v>
      </c>
      <c r="E13" s="18" t="s">
        <v>140</v>
      </c>
      <c r="F13" s="19" t="s">
        <v>141</v>
      </c>
      <c r="G13" s="15" t="s">
        <v>105</v>
      </c>
      <c r="H13" s="15" t="s">
        <v>105</v>
      </c>
      <c r="I13" s="15" t="s">
        <v>105</v>
      </c>
      <c r="J13" s="18" t="s">
        <v>13</v>
      </c>
      <c r="K13" s="18" t="s">
        <v>13</v>
      </c>
    </row>
    <row r="14" spans="2:11" ht="64.95" customHeight="1">
      <c r="B14" s="4" t="s">
        <v>142</v>
      </c>
      <c r="C14" s="18" t="s">
        <v>138</v>
      </c>
      <c r="D14" s="18" t="s">
        <v>143</v>
      </c>
      <c r="E14" s="18" t="s">
        <v>144</v>
      </c>
      <c r="F14" s="19" t="s">
        <v>145</v>
      </c>
      <c r="G14" s="15" t="s">
        <v>105</v>
      </c>
      <c r="H14" s="15" t="s">
        <v>105</v>
      </c>
      <c r="I14" s="16" t="s">
        <v>106</v>
      </c>
      <c r="J14" s="18" t="s">
        <v>65</v>
      </c>
      <c r="K14" s="18" t="s">
        <v>13</v>
      </c>
    </row>
    <row r="15" spans="2:11" ht="64.95" customHeight="1">
      <c r="B15" s="4" t="s">
        <v>146</v>
      </c>
      <c r="C15" s="18" t="s">
        <v>147</v>
      </c>
      <c r="D15" s="18" t="s">
        <v>148</v>
      </c>
      <c r="E15" s="18" t="s">
        <v>149</v>
      </c>
      <c r="F15" s="19" t="s">
        <v>150</v>
      </c>
      <c r="G15" s="15" t="s">
        <v>105</v>
      </c>
      <c r="H15" s="15" t="s">
        <v>105</v>
      </c>
      <c r="I15" s="16" t="s">
        <v>106</v>
      </c>
      <c r="J15" s="18" t="s">
        <v>13</v>
      </c>
      <c r="K15" s="18" t="s">
        <v>13</v>
      </c>
    </row>
    <row r="16" spans="2:11" ht="64.95" customHeight="1">
      <c r="B16" s="4" t="s">
        <v>151</v>
      </c>
      <c r="C16" s="18" t="s">
        <v>147</v>
      </c>
      <c r="D16" s="18" t="s">
        <v>152</v>
      </c>
      <c r="E16" s="18" t="s">
        <v>153</v>
      </c>
      <c r="F16" s="19" t="s">
        <v>154</v>
      </c>
      <c r="G16" s="15" t="s">
        <v>105</v>
      </c>
      <c r="H16" s="15" t="s">
        <v>105</v>
      </c>
      <c r="I16" s="16" t="s">
        <v>106</v>
      </c>
      <c r="J16" s="18" t="s">
        <v>61</v>
      </c>
      <c r="K16" s="18" t="s">
        <v>13</v>
      </c>
    </row>
    <row r="17" spans="2:11" ht="64.95" customHeight="1">
      <c r="B17" s="4" t="s">
        <v>155</v>
      </c>
      <c r="C17" s="18" t="s">
        <v>147</v>
      </c>
      <c r="D17" s="18" t="s">
        <v>156</v>
      </c>
      <c r="E17" s="18" t="s">
        <v>157</v>
      </c>
      <c r="F17" s="19" t="s">
        <v>158</v>
      </c>
      <c r="G17" s="15" t="s">
        <v>105</v>
      </c>
      <c r="H17" s="15" t="s">
        <v>105</v>
      </c>
      <c r="I17" s="16" t="s">
        <v>106</v>
      </c>
      <c r="J17" s="18" t="s">
        <v>13</v>
      </c>
      <c r="K17" s="18" t="s">
        <v>13</v>
      </c>
    </row>
    <row r="18" spans="2:11" ht="84" customHeight="1">
      <c r="B18" s="4" t="s">
        <v>159</v>
      </c>
      <c r="C18" s="18" t="s">
        <v>160</v>
      </c>
      <c r="D18" s="18" t="s">
        <v>161</v>
      </c>
      <c r="E18" s="18" t="s">
        <v>162</v>
      </c>
      <c r="F18" s="19" t="s">
        <v>163</v>
      </c>
      <c r="G18" s="15" t="s">
        <v>105</v>
      </c>
      <c r="H18" s="15" t="s">
        <v>105</v>
      </c>
      <c r="I18" s="15" t="s">
        <v>105</v>
      </c>
      <c r="J18" s="18" t="s">
        <v>13</v>
      </c>
      <c r="K18" s="18" t="s">
        <v>13</v>
      </c>
    </row>
    <row r="19" spans="2:11" ht="84" customHeight="1">
      <c r="B19" s="4" t="s">
        <v>164</v>
      </c>
      <c r="C19" s="18" t="s">
        <v>160</v>
      </c>
      <c r="D19" s="18" t="s">
        <v>165</v>
      </c>
      <c r="E19" s="18" t="s">
        <v>166</v>
      </c>
      <c r="F19" s="19" t="s">
        <v>167</v>
      </c>
      <c r="G19" s="15" t="s">
        <v>105</v>
      </c>
      <c r="H19" s="15" t="s">
        <v>105</v>
      </c>
      <c r="I19" s="15" t="s">
        <v>105</v>
      </c>
      <c r="J19" s="18" t="s">
        <v>54</v>
      </c>
      <c r="K19" s="18" t="s">
        <v>13</v>
      </c>
    </row>
    <row r="20" spans="2:11" ht="84" customHeight="1">
      <c r="B20" s="4" t="s">
        <v>168</v>
      </c>
      <c r="C20" s="18" t="s">
        <v>169</v>
      </c>
      <c r="D20" s="18" t="s">
        <v>170</v>
      </c>
      <c r="E20" s="18" t="s">
        <v>171</v>
      </c>
      <c r="F20" s="19" t="s">
        <v>172</v>
      </c>
      <c r="G20" s="15" t="s">
        <v>105</v>
      </c>
      <c r="H20" s="15" t="s">
        <v>105</v>
      </c>
      <c r="I20" s="16" t="s">
        <v>106</v>
      </c>
      <c r="J20" s="18" t="s">
        <v>13</v>
      </c>
      <c r="K20" s="18" t="s">
        <v>13</v>
      </c>
    </row>
    <row r="21" spans="2:11" ht="84" customHeight="1">
      <c r="B21" s="4" t="s">
        <v>173</v>
      </c>
      <c r="C21" s="18" t="s">
        <v>174</v>
      </c>
      <c r="D21" s="18" t="s">
        <v>175</v>
      </c>
      <c r="E21" s="18" t="s">
        <v>176</v>
      </c>
      <c r="F21" s="19" t="s">
        <v>177</v>
      </c>
      <c r="G21" s="15" t="s">
        <v>105</v>
      </c>
      <c r="H21" s="15" t="s">
        <v>105</v>
      </c>
      <c r="I21" s="16" t="s">
        <v>106</v>
      </c>
      <c r="J21" s="18" t="s">
        <v>13</v>
      </c>
      <c r="K21" s="18" t="s">
        <v>13</v>
      </c>
    </row>
    <row r="22" spans="2:11" ht="64.95" customHeight="1">
      <c r="B22" s="4" t="s">
        <v>178</v>
      </c>
      <c r="C22" s="18" t="s">
        <v>179</v>
      </c>
      <c r="D22" s="18" t="s">
        <v>180</v>
      </c>
      <c r="E22" s="18" t="s">
        <v>181</v>
      </c>
      <c r="F22" s="19" t="s">
        <v>182</v>
      </c>
      <c r="G22" s="15" t="s">
        <v>105</v>
      </c>
      <c r="H22" s="16" t="s">
        <v>106</v>
      </c>
      <c r="I22" s="17" t="s">
        <v>183</v>
      </c>
      <c r="J22" s="18" t="s">
        <v>13</v>
      </c>
      <c r="K22" s="18" t="s">
        <v>13</v>
      </c>
    </row>
    <row r="23" spans="2:11" ht="84" customHeight="1">
      <c r="B23" s="4" t="s">
        <v>184</v>
      </c>
      <c r="C23" s="18" t="s">
        <v>185</v>
      </c>
      <c r="D23" s="18" t="s">
        <v>186</v>
      </c>
      <c r="E23" s="18" t="s">
        <v>187</v>
      </c>
      <c r="F23" s="19" t="s">
        <v>188</v>
      </c>
      <c r="G23" s="15" t="s">
        <v>105</v>
      </c>
      <c r="H23" s="15" t="s">
        <v>105</v>
      </c>
      <c r="I23" s="15" t="s">
        <v>105</v>
      </c>
      <c r="J23" s="18" t="s">
        <v>59</v>
      </c>
      <c r="K23" s="18" t="s">
        <v>13</v>
      </c>
    </row>
    <row r="24" spans="2:11" ht="64.95" customHeight="1">
      <c r="B24" s="4" t="s">
        <v>189</v>
      </c>
      <c r="C24" s="18" t="s">
        <v>185</v>
      </c>
      <c r="D24" s="18" t="s">
        <v>190</v>
      </c>
      <c r="E24" s="18" t="s">
        <v>191</v>
      </c>
      <c r="F24" s="19" t="s">
        <v>192</v>
      </c>
      <c r="G24" s="15" t="s">
        <v>105</v>
      </c>
      <c r="H24" s="15" t="s">
        <v>105</v>
      </c>
      <c r="I24" s="16" t="s">
        <v>106</v>
      </c>
      <c r="J24" s="18" t="s">
        <v>13</v>
      </c>
      <c r="K24" s="18" t="s">
        <v>13</v>
      </c>
    </row>
    <row r="25" spans="2:11" ht="84" customHeight="1">
      <c r="B25" s="4" t="s">
        <v>193</v>
      </c>
      <c r="C25" s="18" t="s">
        <v>185</v>
      </c>
      <c r="D25" s="18" t="s">
        <v>194</v>
      </c>
      <c r="E25" s="18" t="s">
        <v>195</v>
      </c>
      <c r="F25" s="19" t="s">
        <v>196</v>
      </c>
      <c r="G25" s="15" t="s">
        <v>105</v>
      </c>
      <c r="H25" s="16" t="s">
        <v>106</v>
      </c>
      <c r="I25" s="15" t="s">
        <v>105</v>
      </c>
      <c r="J25" s="18" t="s">
        <v>13</v>
      </c>
      <c r="K25" s="18" t="s">
        <v>13</v>
      </c>
    </row>
    <row r="26" spans="2:11" ht="84" customHeight="1">
      <c r="B26" s="4" t="s">
        <v>197</v>
      </c>
      <c r="C26" s="18" t="s">
        <v>185</v>
      </c>
      <c r="D26" s="18" t="s">
        <v>198</v>
      </c>
      <c r="E26" s="18" t="s">
        <v>199</v>
      </c>
      <c r="F26" s="19" t="s">
        <v>200</v>
      </c>
      <c r="G26" s="15" t="s">
        <v>105</v>
      </c>
      <c r="H26" s="16" t="s">
        <v>106</v>
      </c>
      <c r="I26" s="16" t="s">
        <v>106</v>
      </c>
      <c r="J26" s="18" t="s">
        <v>13</v>
      </c>
      <c r="K26" s="18" t="s">
        <v>13</v>
      </c>
    </row>
    <row r="27" spans="2:11" ht="84" customHeight="1">
      <c r="B27" s="4" t="s">
        <v>45</v>
      </c>
      <c r="C27" s="18" t="s">
        <v>185</v>
      </c>
      <c r="D27" s="18" t="s">
        <v>201</v>
      </c>
      <c r="E27" s="18" t="s">
        <v>202</v>
      </c>
      <c r="F27" s="19" t="s">
        <v>203</v>
      </c>
      <c r="G27" s="15" t="s">
        <v>105</v>
      </c>
      <c r="H27" s="15" t="s">
        <v>105</v>
      </c>
      <c r="I27" s="15" t="s">
        <v>105</v>
      </c>
      <c r="J27" s="18" t="s">
        <v>65</v>
      </c>
      <c r="K27" s="18" t="s">
        <v>13</v>
      </c>
    </row>
    <row r="28" spans="2:11" ht="84" customHeight="1">
      <c r="B28" s="4" t="s">
        <v>204</v>
      </c>
      <c r="C28" s="18" t="s">
        <v>185</v>
      </c>
      <c r="D28" s="18" t="s">
        <v>205</v>
      </c>
      <c r="E28" s="18" t="s">
        <v>206</v>
      </c>
      <c r="F28" s="19" t="s">
        <v>207</v>
      </c>
      <c r="G28" s="15" t="s">
        <v>105</v>
      </c>
      <c r="H28" s="15" t="s">
        <v>105</v>
      </c>
      <c r="I28" s="15" t="s">
        <v>105</v>
      </c>
      <c r="J28" s="18" t="s">
        <v>13</v>
      </c>
      <c r="K28" s="18" t="s">
        <v>13</v>
      </c>
    </row>
    <row r="29" spans="2:11" ht="84" customHeight="1">
      <c r="B29" s="4" t="s">
        <v>208</v>
      </c>
      <c r="C29" s="18" t="s">
        <v>185</v>
      </c>
      <c r="D29" s="18" t="s">
        <v>209</v>
      </c>
      <c r="E29" s="18" t="s">
        <v>210</v>
      </c>
      <c r="F29" s="19" t="s">
        <v>211</v>
      </c>
      <c r="G29" s="15" t="s">
        <v>105</v>
      </c>
      <c r="H29" s="15" t="s">
        <v>105</v>
      </c>
      <c r="I29" s="15" t="s">
        <v>105</v>
      </c>
      <c r="J29" s="18" t="s">
        <v>13</v>
      </c>
      <c r="K29" s="18" t="s">
        <v>13</v>
      </c>
    </row>
    <row r="32" spans="2:11" ht="30" customHeight="1">
      <c r="B32" s="48" t="s">
        <v>212</v>
      </c>
      <c r="C32" s="33"/>
      <c r="D32" s="33"/>
      <c r="E32" s="33"/>
      <c r="F32" s="33"/>
      <c r="G32" s="33"/>
      <c r="H32" s="33"/>
      <c r="I32" s="33"/>
      <c r="J32" s="33"/>
      <c r="K32" s="33"/>
    </row>
    <row r="33" spans="2:11" ht="30" customHeight="1">
      <c r="B33" s="48" t="s">
        <v>213</v>
      </c>
      <c r="C33" s="33"/>
      <c r="D33" s="33"/>
      <c r="E33" s="33"/>
      <c r="F33" s="33"/>
      <c r="G33" s="33"/>
      <c r="H33" s="33"/>
      <c r="I33" s="33"/>
      <c r="J33" s="33"/>
      <c r="K33" s="33"/>
    </row>
  </sheetData>
  <autoFilter ref="B4:K29" xr:uid="{00000000-0009-0000-0000-000002000000}"/>
  <mergeCells count="5">
    <mergeCell ref="F2:G2"/>
    <mergeCell ref="B1:K1"/>
    <mergeCell ref="C2:D2"/>
    <mergeCell ref="B32:K32"/>
    <mergeCell ref="B33:K33"/>
  </mergeCells>
  <phoneticPr fontId="6" type="noConversion"/>
  <dataValidations count="1">
    <dataValidation type="list" allowBlank="1" showInputMessage="1" showErrorMessage="1" errorTitle="无效状态" error="状态必须为 ○、△、× 或 N/A" promptTitle="需求状态" prompt="请选择 PD、COD 或 UT 状态" sqref="G5:I29" xr:uid="{00000000-0002-0000-0200-000000000000}">
      <formula1>"○,△,×,N/A"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0" zoomScale="115" zoomScaleNormal="115" workbookViewId="0">
      <selection activeCell="AI34" sqref="AI34"/>
    </sheetView>
  </sheetViews>
  <sheetFormatPr defaultRowHeight="14.4"/>
  <sheetData/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115" zoomScaleNormal="115" workbookViewId="0"/>
  </sheetViews>
  <sheetFormatPr defaultRowHeight="14.4"/>
  <sheetData/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="145" zoomScaleNormal="145" workbookViewId="0"/>
  </sheetViews>
  <sheetFormatPr defaultRowHeight="14.4"/>
  <sheetData/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115" zoomScaleNormal="115" workbookViewId="0"/>
  </sheetViews>
  <sheetFormatPr defaultRowHeight="14.4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WenKB 需求跟踪矩阵</dc:title>
  <dc:subject>基于需求与设计文档的需求、实现、测试和变更追踪</dc:subject>
  <dc:creator>项目维护组</dc:creator>
  <cp:lastModifiedBy>帆 杨</cp:lastModifiedBy>
  <dcterms:created xsi:type="dcterms:W3CDTF">2026-09-04T00:35:59Z</dcterms:created>
  <dcterms:modified xsi:type="dcterms:W3CDTF">2026-09-06T01:14:18Z</dcterms:modified>
</cp:coreProperties>
</file>